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redward.sharepoint.com/sites/ContentLibrary/Shared Documents/General/02. Work in Progress/07. Marketing Content/Insurance Marketing/"/>
    </mc:Choice>
  </mc:AlternateContent>
  <xr:revisionPtr revIDLastSave="84" documentId="8_{E1E44448-7EB2-4B2B-A3D7-84F90331BD04}" xr6:coauthVersionLast="47" xr6:coauthVersionMax="47" xr10:uidLastSave="{049C4087-5EFD-424F-A6EB-67AE6B07B275}"/>
  <bookViews>
    <workbookView xWindow="-108" yWindow="-108" windowWidth="23256" windowHeight="13896" tabRatio="491" activeTab="1" xr2:uid="{D7090EDF-25B9-4030-947E-E89A2A14886A}"/>
  </bookViews>
  <sheets>
    <sheet name="Life" sheetId="1" r:id="rId1"/>
    <sheet name="Monthly intervals" sheetId="3" r:id="rId2"/>
    <sheet name="Colours" sheetId="4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7" i="3" l="1"/>
  <c r="F48" i="3"/>
  <c r="G85" i="3"/>
  <c r="E82" i="3"/>
  <c r="F82" i="3" s="1"/>
  <c r="G82" i="3" s="1"/>
  <c r="E83" i="3"/>
  <c r="F83" i="3" s="1"/>
  <c r="G83" i="3" s="1"/>
  <c r="N83" i="3" s="1"/>
  <c r="E84" i="3"/>
  <c r="I84" i="3" s="1"/>
  <c r="E85" i="3"/>
  <c r="G77" i="3"/>
  <c r="F84" i="3"/>
  <c r="G84" i="3"/>
  <c r="K84" i="3" s="1"/>
  <c r="E76" i="3"/>
  <c r="E78" i="3"/>
  <c r="F78" i="3" s="1"/>
  <c r="G78" i="3" s="1"/>
  <c r="E79" i="3"/>
  <c r="E80" i="3"/>
  <c r="F80" i="3" s="1"/>
  <c r="G80" i="3" s="1"/>
  <c r="K80" i="3" s="1"/>
  <c r="E81" i="3"/>
  <c r="F81" i="3" s="1"/>
  <c r="G81" i="3" s="1"/>
  <c r="H81" i="3" s="1"/>
  <c r="G17" i="3"/>
  <c r="O17" i="3" s="1"/>
  <c r="G25" i="3"/>
  <c r="H25" i="3" s="1"/>
  <c r="G33" i="3"/>
  <c r="J33" i="3" s="1"/>
  <c r="G41" i="3"/>
  <c r="G47" i="3"/>
  <c r="G49" i="3"/>
  <c r="O49" i="3" s="1"/>
  <c r="G57" i="3"/>
  <c r="Q57" i="3" s="1"/>
  <c r="G9" i="3"/>
  <c r="F59" i="3"/>
  <c r="G59" i="3" s="1"/>
  <c r="Q59" i="3" s="1"/>
  <c r="F60" i="3"/>
  <c r="G60" i="3" s="1"/>
  <c r="F61" i="3"/>
  <c r="G61" i="3" s="1"/>
  <c r="G69" i="3"/>
  <c r="G70" i="3"/>
  <c r="G74" i="3"/>
  <c r="E3" i="3"/>
  <c r="F3" i="3" s="1"/>
  <c r="G3" i="3" s="1"/>
  <c r="E4" i="3"/>
  <c r="E5" i="3"/>
  <c r="E6" i="3"/>
  <c r="F6" i="3" s="1"/>
  <c r="G6" i="3" s="1"/>
  <c r="E7" i="3"/>
  <c r="E8" i="3"/>
  <c r="E10" i="3"/>
  <c r="F10" i="3" s="1"/>
  <c r="G10" i="3" s="1"/>
  <c r="E11" i="3"/>
  <c r="F11" i="3" s="1"/>
  <c r="G11" i="3" s="1"/>
  <c r="E12" i="3"/>
  <c r="F12" i="3" s="1"/>
  <c r="G12" i="3" s="1"/>
  <c r="M12" i="3" s="1"/>
  <c r="E13" i="3"/>
  <c r="E14" i="3"/>
  <c r="E15" i="3"/>
  <c r="E16" i="3"/>
  <c r="F16" i="3" s="1"/>
  <c r="G16" i="3" s="1"/>
  <c r="E18" i="3"/>
  <c r="F18" i="3" s="1"/>
  <c r="G18" i="3" s="1"/>
  <c r="E19" i="3"/>
  <c r="E20" i="3"/>
  <c r="F20" i="3" s="1"/>
  <c r="G20" i="3" s="1"/>
  <c r="E21" i="3"/>
  <c r="E22" i="3"/>
  <c r="E23" i="3"/>
  <c r="E24" i="3"/>
  <c r="F24" i="3" s="1"/>
  <c r="G24" i="3" s="1"/>
  <c r="E26" i="3"/>
  <c r="F26" i="3" s="1"/>
  <c r="G26" i="3" s="1"/>
  <c r="E27" i="3"/>
  <c r="E28" i="3"/>
  <c r="E29" i="3"/>
  <c r="E30" i="3"/>
  <c r="E31" i="3"/>
  <c r="F31" i="3" s="1"/>
  <c r="G31" i="3" s="1"/>
  <c r="E32" i="3"/>
  <c r="F32" i="3" s="1"/>
  <c r="G32" i="3" s="1"/>
  <c r="E34" i="3"/>
  <c r="F34" i="3" s="1"/>
  <c r="G34" i="3" s="1"/>
  <c r="N34" i="3" s="1"/>
  <c r="E35" i="3"/>
  <c r="E36" i="3"/>
  <c r="E37" i="3"/>
  <c r="E38" i="3"/>
  <c r="E39" i="3"/>
  <c r="E40" i="3"/>
  <c r="E42" i="3"/>
  <c r="E43" i="3"/>
  <c r="E44" i="3"/>
  <c r="F44" i="3" s="1"/>
  <c r="G44" i="3" s="1"/>
  <c r="E45" i="3"/>
  <c r="E46" i="3"/>
  <c r="E47" i="3"/>
  <c r="J47" i="3" s="1"/>
  <c r="E48" i="3"/>
  <c r="E50" i="3"/>
  <c r="E51" i="3"/>
  <c r="F51" i="3" s="1"/>
  <c r="G51" i="3" s="1"/>
  <c r="E52" i="3"/>
  <c r="E53" i="3"/>
  <c r="E54" i="3"/>
  <c r="E55" i="3"/>
  <c r="E56" i="3"/>
  <c r="F56" i="3" s="1"/>
  <c r="G56" i="3" s="1"/>
  <c r="P56" i="3" s="1"/>
  <c r="E58" i="3"/>
  <c r="E59" i="3"/>
  <c r="E60" i="3"/>
  <c r="E62" i="3"/>
  <c r="F62" i="3" s="1"/>
  <c r="G62" i="3" s="1"/>
  <c r="E63" i="3"/>
  <c r="E64" i="3"/>
  <c r="E65" i="3"/>
  <c r="F65" i="3" s="1"/>
  <c r="G65" i="3" s="1"/>
  <c r="E66" i="3"/>
  <c r="F66" i="3" s="1"/>
  <c r="G66" i="3" s="1"/>
  <c r="E67" i="3"/>
  <c r="E68" i="3"/>
  <c r="E71" i="3"/>
  <c r="F71" i="3" s="1"/>
  <c r="G71" i="3" s="1"/>
  <c r="S71" i="3" s="1"/>
  <c r="T71" i="3" s="1"/>
  <c r="E72" i="3"/>
  <c r="F72" i="3" s="1"/>
  <c r="G72" i="3" s="1"/>
  <c r="E73" i="3"/>
  <c r="E75" i="3"/>
  <c r="E2" i="3"/>
  <c r="H79" i="3" l="1"/>
  <c r="F79" i="3"/>
  <c r="G79" i="3" s="1"/>
  <c r="I80" i="3"/>
  <c r="J84" i="3"/>
  <c r="H80" i="3"/>
  <c r="J80" i="3"/>
  <c r="S84" i="3"/>
  <c r="T84" i="3" s="1"/>
  <c r="H33" i="3"/>
  <c r="H84" i="3"/>
  <c r="H85" i="3"/>
  <c r="S85" i="3"/>
  <c r="T85" i="3" s="1"/>
  <c r="M83" i="3"/>
  <c r="K83" i="3"/>
  <c r="I83" i="3"/>
  <c r="L83" i="3"/>
  <c r="J83" i="3"/>
  <c r="H83" i="3"/>
  <c r="P82" i="3"/>
  <c r="Q82" i="3"/>
  <c r="R82" i="3"/>
  <c r="K82" i="3"/>
  <c r="L82" i="3"/>
  <c r="M82" i="3"/>
  <c r="S82" i="3"/>
  <c r="T82" i="3" s="1"/>
  <c r="H82" i="3"/>
  <c r="I82" i="3"/>
  <c r="J82" i="3"/>
  <c r="N82" i="3"/>
  <c r="O82" i="3"/>
  <c r="P78" i="3"/>
  <c r="Q78" i="3"/>
  <c r="L78" i="3"/>
  <c r="M78" i="3"/>
  <c r="N78" i="3"/>
  <c r="R78" i="3"/>
  <c r="S78" i="3"/>
  <c r="T78" i="3" s="1"/>
  <c r="H78" i="3"/>
  <c r="I78" i="3"/>
  <c r="J78" i="3"/>
  <c r="K78" i="3"/>
  <c r="O78" i="3"/>
  <c r="S77" i="3"/>
  <c r="H77" i="3"/>
  <c r="I77" i="3"/>
  <c r="M77" i="3"/>
  <c r="N77" i="3"/>
  <c r="J77" i="3"/>
  <c r="K77" i="3"/>
  <c r="L77" i="3"/>
  <c r="O77" i="3"/>
  <c r="P77" i="3"/>
  <c r="Q77" i="3"/>
  <c r="R77" i="3"/>
  <c r="S81" i="3"/>
  <c r="T81" i="3" s="1"/>
  <c r="Q85" i="3"/>
  <c r="P81" i="3"/>
  <c r="S80" i="3"/>
  <c r="T80" i="3" s="1"/>
  <c r="R84" i="3"/>
  <c r="O81" i="3"/>
  <c r="R80" i="3"/>
  <c r="N81" i="3"/>
  <c r="M85" i="3"/>
  <c r="P84" i="3"/>
  <c r="S83" i="3"/>
  <c r="T83" i="3" s="1"/>
  <c r="L85" i="3"/>
  <c r="O84" i="3"/>
  <c r="R83" i="3"/>
  <c r="L81" i="3"/>
  <c r="O80" i="3"/>
  <c r="R79" i="3"/>
  <c r="K85" i="3"/>
  <c r="N84" i="3"/>
  <c r="Q83" i="3"/>
  <c r="K81" i="3"/>
  <c r="N80" i="3"/>
  <c r="Q79" i="3"/>
  <c r="J85" i="3"/>
  <c r="M84" i="3"/>
  <c r="P83" i="3"/>
  <c r="J81" i="3"/>
  <c r="M80" i="3"/>
  <c r="P79" i="3"/>
  <c r="R85" i="3"/>
  <c r="R81" i="3"/>
  <c r="Q81" i="3"/>
  <c r="P85" i="3"/>
  <c r="O85" i="3"/>
  <c r="N85" i="3"/>
  <c r="Q84" i="3"/>
  <c r="Q80" i="3"/>
  <c r="M81" i="3"/>
  <c r="P80" i="3"/>
  <c r="S79" i="3"/>
  <c r="T79" i="3" s="1"/>
  <c r="I85" i="3"/>
  <c r="L84" i="3"/>
  <c r="O83" i="3"/>
  <c r="I81" i="3"/>
  <c r="L80" i="3"/>
  <c r="O79" i="3"/>
  <c r="S47" i="3"/>
  <c r="T47" i="3" s="1"/>
  <c r="M47" i="3"/>
  <c r="L47" i="3"/>
  <c r="I33" i="3"/>
  <c r="I25" i="3"/>
  <c r="N47" i="3"/>
  <c r="F28" i="3"/>
  <c r="G28" i="3" s="1"/>
  <c r="I28" i="3" s="1"/>
  <c r="F23" i="3"/>
  <c r="G23" i="3" s="1"/>
  <c r="I23" i="3" s="1"/>
  <c r="S11" i="3"/>
  <c r="T11" i="3" s="1"/>
  <c r="J11" i="3"/>
  <c r="H66" i="3"/>
  <c r="L66" i="3"/>
  <c r="R66" i="3"/>
  <c r="S66" i="3"/>
  <c r="T66" i="3" s="1"/>
  <c r="J6" i="3"/>
  <c r="P6" i="3"/>
  <c r="R6" i="3"/>
  <c r="H6" i="3"/>
  <c r="N6" i="3"/>
  <c r="O6" i="3"/>
  <c r="Q6" i="3"/>
  <c r="J32" i="3"/>
  <c r="H32" i="3"/>
  <c r="Q31" i="3"/>
  <c r="S31" i="3"/>
  <c r="T31" i="3" s="1"/>
  <c r="F53" i="3"/>
  <c r="G53" i="3" s="1"/>
  <c r="L53" i="3" s="1"/>
  <c r="H56" i="3"/>
  <c r="F52" i="3"/>
  <c r="G52" i="3" s="1"/>
  <c r="S52" i="3" s="1"/>
  <c r="T52" i="3" s="1"/>
  <c r="K66" i="3"/>
  <c r="R56" i="3"/>
  <c r="F67" i="3"/>
  <c r="G67" i="3" s="1"/>
  <c r="M67" i="3" s="1"/>
  <c r="F39" i="3"/>
  <c r="G39" i="3" s="1"/>
  <c r="I39" i="3" s="1"/>
  <c r="L72" i="3"/>
  <c r="Q56" i="3"/>
  <c r="N71" i="3"/>
  <c r="Q33" i="3"/>
  <c r="Q3" i="3"/>
  <c r="H31" i="3"/>
  <c r="S49" i="3"/>
  <c r="T49" i="3" s="1"/>
  <c r="P33" i="3"/>
  <c r="N16" i="3"/>
  <c r="H71" i="3"/>
  <c r="F15" i="3"/>
  <c r="G15" i="3" s="1"/>
  <c r="Q15" i="3" s="1"/>
  <c r="H49" i="3"/>
  <c r="H47" i="3"/>
  <c r="K60" i="3"/>
  <c r="I60" i="3"/>
  <c r="G48" i="3"/>
  <c r="P48" i="3" s="1"/>
  <c r="P26" i="3"/>
  <c r="R26" i="3"/>
  <c r="J26" i="3"/>
  <c r="K26" i="3"/>
  <c r="F22" i="3"/>
  <c r="G22" i="3" s="1"/>
  <c r="Q22" i="3" s="1"/>
  <c r="K22" i="3"/>
  <c r="O51" i="3"/>
  <c r="P51" i="3"/>
  <c r="L51" i="3"/>
  <c r="F63" i="3"/>
  <c r="G63" i="3" s="1"/>
  <c r="L63" i="3" s="1"/>
  <c r="F7" i="3"/>
  <c r="G7" i="3" s="1"/>
  <c r="I7" i="3" s="1"/>
  <c r="F50" i="3"/>
  <c r="G50" i="3" s="1"/>
  <c r="R50" i="3" s="1"/>
  <c r="F36" i="3"/>
  <c r="G36" i="3" s="1"/>
  <c r="N36" i="3" s="1"/>
  <c r="F35" i="3"/>
  <c r="G35" i="3" s="1"/>
  <c r="O35" i="3" s="1"/>
  <c r="K51" i="3"/>
  <c r="P34" i="3"/>
  <c r="Q34" i="3"/>
  <c r="R34" i="3"/>
  <c r="K34" i="3"/>
  <c r="L34" i="3"/>
  <c r="H34" i="3"/>
  <c r="M34" i="3"/>
  <c r="Q62" i="3"/>
  <c r="H62" i="3"/>
  <c r="I62" i="3"/>
  <c r="O62" i="3"/>
  <c r="P62" i="3"/>
  <c r="R62" i="3"/>
  <c r="S62" i="3"/>
  <c r="T62" i="3" s="1"/>
  <c r="H11" i="3"/>
  <c r="J51" i="3"/>
  <c r="K25" i="3"/>
  <c r="R25" i="3"/>
  <c r="S25" i="3"/>
  <c r="J25" i="3"/>
  <c r="N25" i="3"/>
  <c r="O25" i="3"/>
  <c r="P25" i="3"/>
  <c r="I51" i="3"/>
  <c r="F68" i="3"/>
  <c r="G68" i="3" s="1"/>
  <c r="L68" i="3" s="1"/>
  <c r="F54" i="3"/>
  <c r="G54" i="3" s="1"/>
  <c r="J54" i="3" s="1"/>
  <c r="F40" i="3"/>
  <c r="G40" i="3" s="1"/>
  <c r="M40" i="3" s="1"/>
  <c r="I27" i="3"/>
  <c r="F13" i="3"/>
  <c r="G13" i="3" s="1"/>
  <c r="P13" i="3" s="1"/>
  <c r="O13" i="3"/>
  <c r="F8" i="3"/>
  <c r="G8" i="3" s="1"/>
  <c r="L8" i="3" s="1"/>
  <c r="N62" i="3"/>
  <c r="S12" i="3"/>
  <c r="T12" i="3" s="1"/>
  <c r="F64" i="3"/>
  <c r="G64" i="3" s="1"/>
  <c r="K64" i="3" s="1"/>
  <c r="N44" i="3"/>
  <c r="I44" i="3"/>
  <c r="J44" i="3"/>
  <c r="O44" i="3"/>
  <c r="H44" i="3"/>
  <c r="S44" i="3"/>
  <c r="T44" i="3" s="1"/>
  <c r="F21" i="3"/>
  <c r="G21" i="3" s="1"/>
  <c r="M21" i="3" s="1"/>
  <c r="I21" i="3"/>
  <c r="R21" i="3"/>
  <c r="S21" i="3"/>
  <c r="T21" i="3" s="1"/>
  <c r="M10" i="3"/>
  <c r="Q10" i="3"/>
  <c r="H10" i="3"/>
  <c r="Q20" i="3"/>
  <c r="R20" i="3"/>
  <c r="S20" i="3"/>
  <c r="T20" i="3" s="1"/>
  <c r="J20" i="3"/>
  <c r="N20" i="3"/>
  <c r="O20" i="3"/>
  <c r="I56" i="3"/>
  <c r="J56" i="3"/>
  <c r="L56" i="3"/>
  <c r="O56" i="3"/>
  <c r="L62" i="3"/>
  <c r="S32" i="3"/>
  <c r="T32" i="3" s="1"/>
  <c r="I20" i="3"/>
  <c r="O12" i="3"/>
  <c r="Q72" i="3"/>
  <c r="R72" i="3"/>
  <c r="P72" i="3"/>
  <c r="F27" i="3"/>
  <c r="G27" i="3" s="1"/>
  <c r="P27" i="3" s="1"/>
  <c r="H3" i="3"/>
  <c r="O3" i="3"/>
  <c r="P3" i="3"/>
  <c r="N72" i="3"/>
  <c r="J62" i="3"/>
  <c r="K32" i="3"/>
  <c r="N12" i="3"/>
  <c r="M72" i="3"/>
  <c r="Q25" i="3"/>
  <c r="K11" i="3"/>
  <c r="R3" i="3"/>
  <c r="K72" i="3"/>
  <c r="S59" i="3"/>
  <c r="T59" i="3" s="1"/>
  <c r="R31" i="3"/>
  <c r="I11" i="3"/>
  <c r="L16" i="3"/>
  <c r="Q16" i="3"/>
  <c r="R16" i="3"/>
  <c r="H16" i="3"/>
  <c r="S16" i="3"/>
  <c r="T16" i="3" s="1"/>
  <c r="O16" i="3"/>
  <c r="M41" i="3"/>
  <c r="Q41" i="3"/>
  <c r="J72" i="3"/>
  <c r="R59" i="3"/>
  <c r="M16" i="3"/>
  <c r="R10" i="3"/>
  <c r="F76" i="3"/>
  <c r="G76" i="3" s="1"/>
  <c r="M76" i="3" s="1"/>
  <c r="J60" i="3"/>
  <c r="L60" i="3"/>
  <c r="N60" i="3"/>
  <c r="H60" i="3"/>
  <c r="S60" i="3"/>
  <c r="T60" i="3" s="1"/>
  <c r="Q60" i="3"/>
  <c r="R60" i="3"/>
  <c r="M60" i="3"/>
  <c r="O60" i="3"/>
  <c r="P60" i="3"/>
  <c r="F46" i="3"/>
  <c r="G46" i="3" s="1"/>
  <c r="I46" i="3" s="1"/>
  <c r="H46" i="3"/>
  <c r="M32" i="3"/>
  <c r="N32" i="3"/>
  <c r="O32" i="3"/>
  <c r="I32" i="3"/>
  <c r="Q32" i="3"/>
  <c r="L32" i="3"/>
  <c r="P32" i="3"/>
  <c r="R32" i="3"/>
  <c r="F19" i="3"/>
  <c r="G19" i="3" s="1"/>
  <c r="I19" i="3" s="1"/>
  <c r="F5" i="3"/>
  <c r="G5" i="3" s="1"/>
  <c r="J5" i="3" s="1"/>
  <c r="Q5" i="3"/>
  <c r="R5" i="3"/>
  <c r="H72" i="3"/>
  <c r="H27" i="3"/>
  <c r="S34" i="3"/>
  <c r="T34" i="3" s="1"/>
  <c r="F75" i="3"/>
  <c r="G75" i="3" s="1"/>
  <c r="I75" i="3" s="1"/>
  <c r="L31" i="3"/>
  <c r="M31" i="3"/>
  <c r="N31" i="3"/>
  <c r="J31" i="3"/>
  <c r="I31" i="3"/>
  <c r="K31" i="3"/>
  <c r="O31" i="3"/>
  <c r="P31" i="3"/>
  <c r="M65" i="3"/>
  <c r="O65" i="3"/>
  <c r="Q65" i="3"/>
  <c r="R65" i="3"/>
  <c r="O18" i="3"/>
  <c r="R71" i="3"/>
  <c r="L71" i="3"/>
  <c r="Q71" i="3"/>
  <c r="O71" i="3"/>
  <c r="P71" i="3"/>
  <c r="I71" i="3"/>
  <c r="J71" i="3"/>
  <c r="K71" i="3"/>
  <c r="M71" i="3"/>
  <c r="F55" i="3"/>
  <c r="G55" i="3" s="1"/>
  <c r="J55" i="3" s="1"/>
  <c r="F42" i="3"/>
  <c r="G42" i="3" s="1"/>
  <c r="P42" i="3" s="1"/>
  <c r="F14" i="3"/>
  <c r="G14" i="3" s="1"/>
  <c r="J14" i="3" s="1"/>
  <c r="J65" i="3"/>
  <c r="I59" i="3"/>
  <c r="K59" i="3"/>
  <c r="J59" i="3"/>
  <c r="P59" i="3"/>
  <c r="L59" i="3"/>
  <c r="H59" i="3"/>
  <c r="M59" i="3"/>
  <c r="F45" i="3"/>
  <c r="G45" i="3" s="1"/>
  <c r="K45" i="3" s="1"/>
  <c r="I18" i="3"/>
  <c r="J18" i="3"/>
  <c r="K18" i="3"/>
  <c r="M18" i="3"/>
  <c r="N18" i="3"/>
  <c r="Q18" i="3"/>
  <c r="R18" i="3"/>
  <c r="S18" i="3"/>
  <c r="T18" i="3" s="1"/>
  <c r="H18" i="3"/>
  <c r="L18" i="3"/>
  <c r="F4" i="3"/>
  <c r="G4" i="3" s="1"/>
  <c r="P4" i="3" s="1"/>
  <c r="J66" i="3"/>
  <c r="O59" i="3"/>
  <c r="S57" i="3"/>
  <c r="R57" i="3"/>
  <c r="P57" i="3"/>
  <c r="O57" i="3"/>
  <c r="I66" i="3"/>
  <c r="N59" i="3"/>
  <c r="P18" i="3"/>
  <c r="O53" i="3"/>
  <c r="S26" i="3"/>
  <c r="T26" i="3" s="1"/>
  <c r="H26" i="3"/>
  <c r="I26" i="3"/>
  <c r="L26" i="3"/>
  <c r="Q26" i="3"/>
  <c r="P12" i="3"/>
  <c r="H12" i="3"/>
  <c r="Q12" i="3"/>
  <c r="R12" i="3"/>
  <c r="L12" i="3"/>
  <c r="I12" i="3"/>
  <c r="J12" i="3"/>
  <c r="K12" i="3"/>
  <c r="I49" i="3"/>
  <c r="P49" i="3"/>
  <c r="Q49" i="3"/>
  <c r="R49" i="3"/>
  <c r="K49" i="3"/>
  <c r="N49" i="3"/>
  <c r="O26" i="3"/>
  <c r="O66" i="3"/>
  <c r="Q66" i="3"/>
  <c r="P66" i="3"/>
  <c r="M66" i="3"/>
  <c r="N66" i="3"/>
  <c r="F38" i="3"/>
  <c r="G38" i="3" s="1"/>
  <c r="R38" i="3" s="1"/>
  <c r="O38" i="3"/>
  <c r="O11" i="3"/>
  <c r="P11" i="3"/>
  <c r="Q11" i="3"/>
  <c r="M11" i="3"/>
  <c r="N11" i="3"/>
  <c r="M49" i="3"/>
  <c r="N26" i="3"/>
  <c r="R11" i="3"/>
  <c r="F2" i="3"/>
  <c r="G2" i="3" s="1"/>
  <c r="N65" i="3"/>
  <c r="H65" i="3"/>
  <c r="P65" i="3"/>
  <c r="L65" i="3"/>
  <c r="S65" i="3"/>
  <c r="T65" i="3" s="1"/>
  <c r="I65" i="3"/>
  <c r="R51" i="3"/>
  <c r="H51" i="3"/>
  <c r="S51" i="3"/>
  <c r="T51" i="3" s="1"/>
  <c r="N51" i="3"/>
  <c r="Q51" i="3"/>
  <c r="F37" i="3"/>
  <c r="G37" i="3" s="1"/>
  <c r="K37" i="3" s="1"/>
  <c r="N10" i="3"/>
  <c r="O10" i="3"/>
  <c r="P10" i="3"/>
  <c r="S10" i="3"/>
  <c r="T10" i="3" s="1"/>
  <c r="I10" i="3"/>
  <c r="J10" i="3"/>
  <c r="K10" i="3"/>
  <c r="L10" i="3"/>
  <c r="K65" i="3"/>
  <c r="S53" i="3"/>
  <c r="T53" i="3" s="1"/>
  <c r="M51" i="3"/>
  <c r="L49" i="3"/>
  <c r="M26" i="3"/>
  <c r="L11" i="3"/>
  <c r="F73" i="3"/>
  <c r="G73" i="3" s="1"/>
  <c r="L73" i="3" s="1"/>
  <c r="F58" i="3"/>
  <c r="G58" i="3" s="1"/>
  <c r="M58" i="3"/>
  <c r="P44" i="3"/>
  <c r="Q44" i="3"/>
  <c r="R44" i="3"/>
  <c r="K44" i="3"/>
  <c r="F30" i="3"/>
  <c r="G30" i="3" s="1"/>
  <c r="H30" i="3" s="1"/>
  <c r="I16" i="3"/>
  <c r="J16" i="3"/>
  <c r="P16" i="3"/>
  <c r="I3" i="3"/>
  <c r="J3" i="3"/>
  <c r="S3" i="3"/>
  <c r="T3" i="3" s="1"/>
  <c r="L3" i="3"/>
  <c r="M3" i="3"/>
  <c r="M44" i="3"/>
  <c r="K16" i="3"/>
  <c r="N3" i="3"/>
  <c r="S72" i="3"/>
  <c r="T72" i="3" s="1"/>
  <c r="I72" i="3"/>
  <c r="O72" i="3"/>
  <c r="K56" i="3"/>
  <c r="M56" i="3"/>
  <c r="N56" i="3"/>
  <c r="F43" i="3"/>
  <c r="G43" i="3" s="1"/>
  <c r="O43" i="3" s="1"/>
  <c r="N43" i="3"/>
  <c r="F29" i="3"/>
  <c r="G29" i="3" s="1"/>
  <c r="J29" i="3" s="1"/>
  <c r="S56" i="3"/>
  <c r="T56" i="3" s="1"/>
  <c r="L44" i="3"/>
  <c r="K3" i="3"/>
  <c r="K62" i="3"/>
  <c r="M62" i="3"/>
  <c r="I47" i="3"/>
  <c r="I34" i="3"/>
  <c r="J34" i="3"/>
  <c r="K20" i="3"/>
  <c r="L20" i="3"/>
  <c r="M20" i="3"/>
  <c r="K6" i="3"/>
  <c r="L6" i="3"/>
  <c r="M6" i="3"/>
  <c r="H20" i="3"/>
  <c r="K47" i="3"/>
  <c r="O34" i="3"/>
  <c r="I6" i="3"/>
  <c r="K33" i="3"/>
  <c r="S33" i="3"/>
  <c r="R33" i="3"/>
  <c r="P20" i="3"/>
  <c r="S6" i="3"/>
  <c r="T6" i="3" s="1"/>
  <c r="R47" i="3"/>
  <c r="O47" i="3"/>
  <c r="Q47" i="3"/>
  <c r="P47" i="3"/>
  <c r="Q74" i="3"/>
  <c r="R74" i="3"/>
  <c r="S74" i="3"/>
  <c r="I74" i="3"/>
  <c r="J74" i="3"/>
  <c r="K74" i="3"/>
  <c r="L74" i="3"/>
  <c r="M74" i="3"/>
  <c r="N74" i="3"/>
  <c r="H74" i="3"/>
  <c r="O74" i="3"/>
  <c r="P74" i="3"/>
  <c r="Q70" i="3"/>
  <c r="R70" i="3"/>
  <c r="S70" i="3"/>
  <c r="H70" i="3"/>
  <c r="L70" i="3"/>
  <c r="M70" i="3"/>
  <c r="N70" i="3"/>
  <c r="O70" i="3"/>
  <c r="P70" i="3"/>
  <c r="I70" i="3"/>
  <c r="J70" i="3"/>
  <c r="K70" i="3"/>
  <c r="O69" i="3"/>
  <c r="P69" i="3"/>
  <c r="Q69" i="3"/>
  <c r="R69" i="3"/>
  <c r="H69" i="3"/>
  <c r="S69" i="3"/>
  <c r="I69" i="3"/>
  <c r="J69" i="3"/>
  <c r="K69" i="3"/>
  <c r="L69" i="3"/>
  <c r="M69" i="3"/>
  <c r="N69" i="3"/>
  <c r="O61" i="3"/>
  <c r="H61" i="3"/>
  <c r="P61" i="3"/>
  <c r="Q61" i="3"/>
  <c r="R61" i="3"/>
  <c r="S61" i="3"/>
  <c r="T61" i="3" s="1"/>
  <c r="I61" i="3"/>
  <c r="J61" i="3"/>
  <c r="K61" i="3"/>
  <c r="L61" i="3"/>
  <c r="M61" i="3"/>
  <c r="N61" i="3"/>
  <c r="M57" i="3"/>
  <c r="K57" i="3"/>
  <c r="J57" i="3"/>
  <c r="I57" i="3"/>
  <c r="H57" i="3"/>
  <c r="N57" i="3"/>
  <c r="L57" i="3"/>
  <c r="J49" i="3"/>
  <c r="L41" i="3"/>
  <c r="K41" i="3"/>
  <c r="J41" i="3"/>
  <c r="I41" i="3"/>
  <c r="S41" i="3"/>
  <c r="R41" i="3"/>
  <c r="P41" i="3"/>
  <c r="O41" i="3"/>
  <c r="N41" i="3"/>
  <c r="H41" i="3"/>
  <c r="O33" i="3"/>
  <c r="N33" i="3"/>
  <c r="M33" i="3"/>
  <c r="L33" i="3"/>
  <c r="K24" i="3"/>
  <c r="P24" i="3"/>
  <c r="Q24" i="3"/>
  <c r="R24" i="3"/>
  <c r="S24" i="3"/>
  <c r="T24" i="3" s="1"/>
  <c r="I24" i="3"/>
  <c r="J24" i="3"/>
  <c r="O24" i="3"/>
  <c r="N24" i="3"/>
  <c r="H24" i="3"/>
  <c r="M24" i="3"/>
  <c r="L24" i="3"/>
  <c r="M25" i="3"/>
  <c r="L25" i="3"/>
  <c r="N17" i="3"/>
  <c r="M17" i="3"/>
  <c r="L17" i="3"/>
  <c r="K17" i="3"/>
  <c r="J17" i="3"/>
  <c r="I17" i="3"/>
  <c r="S17" i="3"/>
  <c r="R17" i="3"/>
  <c r="Q17" i="3"/>
  <c r="P17" i="3"/>
  <c r="H17" i="3"/>
  <c r="S9" i="3"/>
  <c r="I9" i="3"/>
  <c r="J9" i="3"/>
  <c r="K9" i="3"/>
  <c r="L9" i="3"/>
  <c r="H9" i="3"/>
  <c r="M9" i="3"/>
  <c r="N9" i="3"/>
  <c r="O9" i="3"/>
  <c r="P9" i="3"/>
  <c r="Q9" i="3"/>
  <c r="R9" i="3"/>
  <c r="I48" i="3" l="1"/>
  <c r="Q28" i="3"/>
  <c r="K40" i="3"/>
  <c r="S40" i="3"/>
  <c r="T40" i="3" s="1"/>
  <c r="Q21" i="3"/>
  <c r="I29" i="3"/>
  <c r="N79" i="3"/>
  <c r="K79" i="3"/>
  <c r="L79" i="3"/>
  <c r="M79" i="3"/>
  <c r="J79" i="3"/>
  <c r="I79" i="3"/>
  <c r="M23" i="3"/>
  <c r="P28" i="3"/>
  <c r="P23" i="3"/>
  <c r="O28" i="3"/>
  <c r="O23" i="3"/>
  <c r="I15" i="3"/>
  <c r="N23" i="3"/>
  <c r="O15" i="3"/>
  <c r="Q13" i="3"/>
  <c r="L15" i="3"/>
  <c r="S15" i="3"/>
  <c r="T15" i="3" s="1"/>
  <c r="J27" i="3"/>
  <c r="J67" i="3"/>
  <c r="O76" i="3"/>
  <c r="I76" i="3"/>
  <c r="N13" i="3"/>
  <c r="H53" i="3"/>
  <c r="M13" i="3"/>
  <c r="P21" i="3"/>
  <c r="O22" i="3"/>
  <c r="J53" i="3"/>
  <c r="R28" i="3"/>
  <c r="O52" i="3"/>
  <c r="K13" i="3"/>
  <c r="K68" i="3"/>
  <c r="N22" i="3"/>
  <c r="K21" i="3"/>
  <c r="R64" i="3"/>
  <c r="R23" i="3"/>
  <c r="S28" i="3"/>
  <c r="T28" i="3" s="1"/>
  <c r="J23" i="3"/>
  <c r="I53" i="3"/>
  <c r="M28" i="3"/>
  <c r="L35" i="3"/>
  <c r="L13" i="3"/>
  <c r="P36" i="3"/>
  <c r="S75" i="3"/>
  <c r="T75" i="3" s="1"/>
  <c r="J13" i="3"/>
  <c r="J64" i="3"/>
  <c r="S23" i="3"/>
  <c r="T23" i="3" s="1"/>
  <c r="H23" i="3"/>
  <c r="N53" i="3"/>
  <c r="R13" i="3"/>
  <c r="P50" i="3"/>
  <c r="Q75" i="3"/>
  <c r="I4" i="3"/>
  <c r="R36" i="3"/>
  <c r="O4" i="3"/>
  <c r="L36" i="3"/>
  <c r="K52" i="3"/>
  <c r="K36" i="3"/>
  <c r="I52" i="3"/>
  <c r="J36" i="3"/>
  <c r="L23" i="3"/>
  <c r="P15" i="3"/>
  <c r="P43" i="3"/>
  <c r="H28" i="3"/>
  <c r="M50" i="3"/>
  <c r="N28" i="3"/>
  <c r="K28" i="3"/>
  <c r="P64" i="3"/>
  <c r="P22" i="3"/>
  <c r="O50" i="3"/>
  <c r="J15" i="3"/>
  <c r="K15" i="3"/>
  <c r="K23" i="3"/>
  <c r="R53" i="3"/>
  <c r="J28" i="3"/>
  <c r="I64" i="3"/>
  <c r="H22" i="3"/>
  <c r="J50" i="3"/>
  <c r="K48" i="3"/>
  <c r="N15" i="3"/>
  <c r="H52" i="3"/>
  <c r="L28" i="3"/>
  <c r="R15" i="3"/>
  <c r="Q53" i="3"/>
  <c r="O64" i="3"/>
  <c r="O21" i="3"/>
  <c r="L22" i="3"/>
  <c r="S50" i="3"/>
  <c r="T50" i="3" s="1"/>
  <c r="Q67" i="3"/>
  <c r="P53" i="3"/>
  <c r="M14" i="3"/>
  <c r="I42" i="3"/>
  <c r="N19" i="3"/>
  <c r="L76" i="3"/>
  <c r="L21" i="3"/>
  <c r="M64" i="3"/>
  <c r="S13" i="3"/>
  <c r="T13" i="3" s="1"/>
  <c r="I22" i="3"/>
  <c r="Q23" i="3"/>
  <c r="J73" i="3"/>
  <c r="M38" i="3"/>
  <c r="S39" i="3"/>
  <c r="T39" i="3" s="1"/>
  <c r="K67" i="3"/>
  <c r="R14" i="3"/>
  <c r="P5" i="3"/>
  <c r="O46" i="3"/>
  <c r="M53" i="3"/>
  <c r="P40" i="3"/>
  <c r="M22" i="3"/>
  <c r="M30" i="3"/>
  <c r="L38" i="3"/>
  <c r="R39" i="3"/>
  <c r="H67" i="3"/>
  <c r="Q14" i="3"/>
  <c r="J42" i="3"/>
  <c r="N5" i="3"/>
  <c r="M46" i="3"/>
  <c r="Q52" i="3"/>
  <c r="S27" i="3"/>
  <c r="T27" i="3" s="1"/>
  <c r="I13" i="3"/>
  <c r="O40" i="3"/>
  <c r="S36" i="3"/>
  <c r="T36" i="3" s="1"/>
  <c r="S67" i="3"/>
  <c r="T67" i="3" s="1"/>
  <c r="L30" i="3"/>
  <c r="L67" i="3"/>
  <c r="L52" i="3"/>
  <c r="O39" i="3"/>
  <c r="R67" i="3"/>
  <c r="P14" i="3"/>
  <c r="H5" i="3"/>
  <c r="L46" i="3"/>
  <c r="N52" i="3"/>
  <c r="H13" i="3"/>
  <c r="M54" i="3"/>
  <c r="J8" i="3"/>
  <c r="Q36" i="3"/>
  <c r="Q50" i="3"/>
  <c r="L39" i="3"/>
  <c r="Q30" i="3"/>
  <c r="M73" i="3"/>
  <c r="K30" i="3"/>
  <c r="P38" i="3"/>
  <c r="J52" i="3"/>
  <c r="N39" i="3"/>
  <c r="P67" i="3"/>
  <c r="J4" i="3"/>
  <c r="O14" i="3"/>
  <c r="M5" i="3"/>
  <c r="K46" i="3"/>
  <c r="M35" i="3"/>
  <c r="P52" i="3"/>
  <c r="L54" i="3"/>
  <c r="H21" i="3"/>
  <c r="J22" i="3"/>
  <c r="H36" i="3"/>
  <c r="H15" i="3"/>
  <c r="M15" i="3"/>
  <c r="K19" i="3"/>
  <c r="Q39" i="3"/>
  <c r="L14" i="3"/>
  <c r="J46" i="3"/>
  <c r="N35" i="3"/>
  <c r="J39" i="3"/>
  <c r="R52" i="3"/>
  <c r="H39" i="3"/>
  <c r="K14" i="3"/>
  <c r="O5" i="3"/>
  <c r="N46" i="3"/>
  <c r="M52" i="3"/>
  <c r="P68" i="3"/>
  <c r="K35" i="3"/>
  <c r="O36" i="3"/>
  <c r="P39" i="3"/>
  <c r="S63" i="3"/>
  <c r="T63" i="3" s="1"/>
  <c r="K38" i="3"/>
  <c r="H14" i="3"/>
  <c r="Q46" i="3"/>
  <c r="Q68" i="3"/>
  <c r="K63" i="3"/>
  <c r="N67" i="3"/>
  <c r="I67" i="3"/>
  <c r="O67" i="3"/>
  <c r="R73" i="3"/>
  <c r="N38" i="3"/>
  <c r="P46" i="3"/>
  <c r="K39" i="3"/>
  <c r="M39" i="3"/>
  <c r="I63" i="3"/>
  <c r="M63" i="3"/>
  <c r="S14" i="3"/>
  <c r="T14" i="3" s="1"/>
  <c r="J19" i="3"/>
  <c r="I14" i="3"/>
  <c r="L5" i="3"/>
  <c r="S46" i="3"/>
  <c r="T46" i="3" s="1"/>
  <c r="O68" i="3"/>
  <c r="N14" i="3"/>
  <c r="K5" i="3"/>
  <c r="R46" i="3"/>
  <c r="S64" i="3"/>
  <c r="T64" i="3" s="1"/>
  <c r="R68" i="3"/>
  <c r="R63" i="3"/>
  <c r="K53" i="3"/>
  <c r="Q2" i="3"/>
  <c r="P2" i="3"/>
  <c r="O2" i="3"/>
  <c r="S2" i="3"/>
  <c r="T2" i="3" s="1"/>
  <c r="M2" i="3"/>
  <c r="K2" i="3"/>
  <c r="I2" i="3"/>
  <c r="Q7" i="3"/>
  <c r="L29" i="3"/>
  <c r="L2" i="3"/>
  <c r="L55" i="3"/>
  <c r="N27" i="3"/>
  <c r="N54" i="3"/>
  <c r="H63" i="3"/>
  <c r="K55" i="3"/>
  <c r="Q19" i="3"/>
  <c r="S76" i="3"/>
  <c r="T76" i="3" s="1"/>
  <c r="P35" i="3"/>
  <c r="Q35" i="3"/>
  <c r="J21" i="3"/>
  <c r="R27" i="3"/>
  <c r="M27" i="3"/>
  <c r="I40" i="3"/>
  <c r="K54" i="3"/>
  <c r="N68" i="3"/>
  <c r="O7" i="3"/>
  <c r="R35" i="3"/>
  <c r="P63" i="3"/>
  <c r="Q8" i="3"/>
  <c r="L50" i="3"/>
  <c r="S48" i="3"/>
  <c r="T48" i="3" s="1"/>
  <c r="M48" i="3"/>
  <c r="R76" i="3"/>
  <c r="Q54" i="3"/>
  <c r="I50" i="3"/>
  <c r="N21" i="3"/>
  <c r="N50" i="3"/>
  <c r="L27" i="3"/>
  <c r="L40" i="3"/>
  <c r="S7" i="3"/>
  <c r="T7" i="3" s="1"/>
  <c r="H35" i="3"/>
  <c r="J63" i="3"/>
  <c r="P8" i="3"/>
  <c r="S22" i="3"/>
  <c r="T22" i="3" s="1"/>
  <c r="M36" i="3"/>
  <c r="K50" i="3"/>
  <c r="R48" i="3"/>
  <c r="H37" i="3"/>
  <c r="J37" i="3"/>
  <c r="N37" i="3"/>
  <c r="P37" i="3"/>
  <c r="I37" i="3"/>
  <c r="Q37" i="3"/>
  <c r="R37" i="3"/>
  <c r="S37" i="3"/>
  <c r="T37" i="3" s="1"/>
  <c r="M45" i="3"/>
  <c r="N45" i="3"/>
  <c r="P45" i="3"/>
  <c r="L45" i="3"/>
  <c r="S45" i="3"/>
  <c r="T45" i="3" s="1"/>
  <c r="M55" i="3"/>
  <c r="S55" i="3"/>
  <c r="T55" i="3" s="1"/>
  <c r="P55" i="3"/>
  <c r="Q55" i="3"/>
  <c r="H55" i="3"/>
  <c r="O8" i="3"/>
  <c r="M29" i="3"/>
  <c r="N29" i="3"/>
  <c r="R29" i="3"/>
  <c r="S29" i="3"/>
  <c r="T29" i="3" s="1"/>
  <c r="H29" i="3"/>
  <c r="O29" i="3"/>
  <c r="P29" i="3"/>
  <c r="N2" i="3"/>
  <c r="R45" i="3"/>
  <c r="H75" i="3"/>
  <c r="O55" i="3"/>
  <c r="N75" i="3"/>
  <c r="P19" i="3"/>
  <c r="S19" i="3"/>
  <c r="T19" i="3" s="1"/>
  <c r="O19" i="3"/>
  <c r="J76" i="3"/>
  <c r="P7" i="3"/>
  <c r="N8" i="3"/>
  <c r="J48" i="3"/>
  <c r="J2" i="3"/>
  <c r="Q45" i="3"/>
  <c r="K42" i="3"/>
  <c r="L42" i="3"/>
  <c r="N55" i="3"/>
  <c r="K75" i="3"/>
  <c r="M19" i="3"/>
  <c r="O27" i="3"/>
  <c r="H54" i="3"/>
  <c r="P54" i="3"/>
  <c r="N7" i="3"/>
  <c r="M8" i="3"/>
  <c r="L48" i="3"/>
  <c r="K29" i="3"/>
  <c r="H2" i="3"/>
  <c r="S4" i="3"/>
  <c r="T4" i="3" s="1"/>
  <c r="L4" i="3"/>
  <c r="S42" i="3"/>
  <c r="T42" i="3" s="1"/>
  <c r="R55" i="3"/>
  <c r="H19" i="3"/>
  <c r="Q27" i="3"/>
  <c r="K27" i="3"/>
  <c r="R40" i="3"/>
  <c r="S54" i="3"/>
  <c r="T54" i="3" s="1"/>
  <c r="J68" i="3"/>
  <c r="M7" i="3"/>
  <c r="Q63" i="3"/>
  <c r="H8" i="3"/>
  <c r="O48" i="3"/>
  <c r="O58" i="3"/>
  <c r="H58" i="3"/>
  <c r="P58" i="3"/>
  <c r="Q58" i="3"/>
  <c r="R58" i="3"/>
  <c r="N58" i="3"/>
  <c r="S58" i="3"/>
  <c r="T58" i="3" s="1"/>
  <c r="L58" i="3"/>
  <c r="K58" i="3"/>
  <c r="I58" i="3"/>
  <c r="Q4" i="3"/>
  <c r="Q42" i="3"/>
  <c r="N4" i="3"/>
  <c r="R7" i="3"/>
  <c r="R19" i="3"/>
  <c r="H76" i="3"/>
  <c r="J40" i="3"/>
  <c r="H68" i="3"/>
  <c r="L7" i="3"/>
  <c r="R8" i="3"/>
  <c r="N48" i="3"/>
  <c r="S30" i="3"/>
  <c r="T30" i="3" s="1"/>
  <c r="N30" i="3"/>
  <c r="I30" i="3"/>
  <c r="J30" i="3"/>
  <c r="O30" i="3"/>
  <c r="J58" i="3"/>
  <c r="J38" i="3"/>
  <c r="H4" i="3"/>
  <c r="H42" i="3"/>
  <c r="S43" i="3"/>
  <c r="T43" i="3" s="1"/>
  <c r="I43" i="3"/>
  <c r="K43" i="3"/>
  <c r="L43" i="3"/>
  <c r="M43" i="3"/>
  <c r="R43" i="3"/>
  <c r="J43" i="3"/>
  <c r="R30" i="3"/>
  <c r="I73" i="3"/>
  <c r="N73" i="3"/>
  <c r="P73" i="3"/>
  <c r="Q73" i="3"/>
  <c r="O73" i="3"/>
  <c r="H73" i="3"/>
  <c r="S73" i="3"/>
  <c r="T73" i="3" s="1"/>
  <c r="R2" i="3"/>
  <c r="I38" i="3"/>
  <c r="M42" i="3"/>
  <c r="I68" i="3"/>
  <c r="Q43" i="3"/>
  <c r="P30" i="3"/>
  <c r="K73" i="3"/>
  <c r="Q38" i="3"/>
  <c r="S38" i="3"/>
  <c r="T38" i="3" s="1"/>
  <c r="K4" i="3"/>
  <c r="R42" i="3"/>
  <c r="H43" i="3"/>
  <c r="N64" i="3"/>
  <c r="I5" i="3"/>
  <c r="L19" i="3"/>
  <c r="Q64" i="3"/>
  <c r="R54" i="3"/>
  <c r="H40" i="3"/>
  <c r="I54" i="3"/>
  <c r="S68" i="3"/>
  <c r="T68" i="3" s="1"/>
  <c r="M4" i="3"/>
  <c r="H7" i="3"/>
  <c r="S35" i="3"/>
  <c r="T35" i="3" s="1"/>
  <c r="O63" i="3"/>
  <c r="K8" i="3"/>
  <c r="R22" i="3"/>
  <c r="I36" i="3"/>
  <c r="H50" i="3"/>
  <c r="Q48" i="3"/>
  <c r="I45" i="3"/>
  <c r="O37" i="3"/>
  <c r="O45" i="3"/>
  <c r="L75" i="3"/>
  <c r="M75" i="3"/>
  <c r="O75" i="3"/>
  <c r="J75" i="3"/>
  <c r="P76" i="3"/>
  <c r="N76" i="3"/>
  <c r="K7" i="3"/>
  <c r="I8" i="3"/>
  <c r="M37" i="3"/>
  <c r="H45" i="3"/>
  <c r="O42" i="3"/>
  <c r="P75" i="3"/>
  <c r="Q76" i="3"/>
  <c r="Q40" i="3"/>
  <c r="N40" i="3"/>
  <c r="M68" i="3"/>
  <c r="J7" i="3"/>
  <c r="J35" i="3"/>
  <c r="N63" i="3"/>
  <c r="S8" i="3"/>
  <c r="T8" i="3" s="1"/>
  <c r="H48" i="3"/>
  <c r="Q29" i="3"/>
  <c r="L37" i="3"/>
  <c r="H38" i="3"/>
  <c r="J45" i="3"/>
  <c r="I55" i="3"/>
  <c r="N42" i="3"/>
  <c r="R4" i="3"/>
  <c r="R75" i="3"/>
  <c r="S5" i="3"/>
  <c r="T5" i="3" s="1"/>
  <c r="K76" i="3"/>
  <c r="L64" i="3"/>
  <c r="H64" i="3"/>
  <c r="O54" i="3"/>
  <c r="I35" i="3"/>
</calcChain>
</file>

<file path=xl/sharedStrings.xml><?xml version="1.0" encoding="utf-8"?>
<sst xmlns="http://schemas.openxmlformats.org/spreadsheetml/2006/main" count="374" uniqueCount="123">
  <si>
    <t>MA</t>
  </si>
  <si>
    <t>Reference (if applicable)</t>
  </si>
  <si>
    <t>S.22.01.22 (R0090)</t>
  </si>
  <si>
    <t>Firm</t>
  </si>
  <si>
    <t>Year</t>
  </si>
  <si>
    <t>Link</t>
  </si>
  <si>
    <t>Impact MA to 0 on SCR</t>
  </si>
  <si>
    <t>Notes</t>
  </si>
  <si>
    <t>Rothesay Life</t>
  </si>
  <si>
    <t>Rothesay SFCR 2023</t>
  </si>
  <si>
    <t>Rothesay SCFR 2022</t>
  </si>
  <si>
    <t>Rothesay SFCR 2021</t>
  </si>
  <si>
    <t>Rothesay SFCR 2020</t>
  </si>
  <si>
    <t>Rothesay SFCR 2019</t>
  </si>
  <si>
    <t>Rothesay SFCR 2018</t>
  </si>
  <si>
    <t>Pru deal</t>
  </si>
  <si>
    <t>Rothesay SFCR 2017</t>
  </si>
  <si>
    <t>Acquired Zurich and Aegon</t>
  </si>
  <si>
    <t>Rothesay SFCR 2016</t>
  </si>
  <si>
    <t>Pension Insurance Corporation</t>
  </si>
  <si>
    <t>PIC SFCR 2023</t>
  </si>
  <si>
    <t>PIC SFCR 2022</t>
  </si>
  <si>
    <t>PIC SFCR 2021</t>
  </si>
  <si>
    <t>PIC SFCR 2020</t>
  </si>
  <si>
    <t>PIC SFCR 2019</t>
  </si>
  <si>
    <t>?</t>
  </si>
  <si>
    <t>L&amp;G</t>
  </si>
  <si>
    <t>https://group.legalandgeneral.com/media/w3jj3uqn/legal-and-general-group-plc_2023_sfcr.pdf</t>
  </si>
  <si>
    <t>group-sfcr-2022-final-signed.pdf (legalandgeneral.com)</t>
  </si>
  <si>
    <t>group_sfcr-2021_signed.pdf (legalandgeneral.com)</t>
  </si>
  <si>
    <t>lg-group-plc-sfcr.pdf (legalandgeneral.com)</t>
  </si>
  <si>
    <t>sfcr-legal-general-group-plc.pdf (legalandgeneral.com)</t>
  </si>
  <si>
    <t>sii-sfcr-2018_group-_published.pdf (legalandgeneral.com)</t>
  </si>
  <si>
    <t>lg-group-sfcr-2017-final-published.pdf (legalandgeneral.com)</t>
  </si>
  <si>
    <t>solvency-and-financial-condition-group-2016.pdf (legalandgeneral.com)</t>
  </si>
  <si>
    <t>Aviva</t>
  </si>
  <si>
    <t>Aviva-plc-Single-Group-wide-SFCR-2023 (1).pdf</t>
  </si>
  <si>
    <t>Just Group</t>
  </si>
  <si>
    <t>just-group-sfcr-2023.pdf (justgroupplc.co.uk)</t>
  </si>
  <si>
    <t>Just Group SFCR 2022.pdf (justgroupplc.co.uk)</t>
  </si>
  <si>
    <t>Just Group SFCR 2021.pdf (justgroupplc.co.uk)</t>
  </si>
  <si>
    <t>Just Group SFCR 2020 090420 FINAL.pdf (justgroupplc.co.uk)</t>
  </si>
  <si>
    <t>just-group-2019-sfcr.pdf (justgroupplc.co.uk)</t>
  </si>
  <si>
    <t>Just Group SFCR 2018.pdf (justgroupplc.co.uk)</t>
  </si>
  <si>
    <t>sfcr-as-at-31-december-2017.pdf (justgroupplc.co.uk)</t>
  </si>
  <si>
    <t>Just Group plc Solvency and Financial Condition Report as at 31 December 2016.pdf</t>
  </si>
  <si>
    <t>Scottish Widows</t>
  </si>
  <si>
    <t>group_sfcr_2023.pdf (scottishwidows.co.uk)</t>
  </si>
  <si>
    <t>group_sfcr_2022.pdf (scottishwidows.co.uk)</t>
  </si>
  <si>
    <t>Group-SFCR-2021.pdf (scottishwidows.co.uk)</t>
  </si>
  <si>
    <t>Group-SFCR-2020.pdf (scottishwidows.co.uk)</t>
  </si>
  <si>
    <t>Group-SFCR-2019.pdf (scottishwidows.co.uk)</t>
  </si>
  <si>
    <t>Group-SFCR-2018.pdf (scottishwidows.co.uk)</t>
  </si>
  <si>
    <t>https://www.thephoenixgroup.com/media/xfalu2gb/phoenix-group-solvency-and-financial-condition-report-31-december-2023.pdf</t>
  </si>
  <si>
    <t>thephoenixgroup.com/media/jruhvzki/phoenix-group-solvency-and-financial-condition-report-31-december-2022.pdf</t>
  </si>
  <si>
    <t>Royal London</t>
  </si>
  <si>
    <t>single-group-solvency-and-financial-condition-report-2023.pdf (royallondon.com)</t>
  </si>
  <si>
    <t>single-group-solvency-and-financial-condition-report-2022.pdf (royallondon.com)</t>
  </si>
  <si>
    <t>single-group-solvency-and-financial-condition-report-2021.pdf (royallondon.com)</t>
  </si>
  <si>
    <t>Pru</t>
  </si>
  <si>
    <t>pacl-sfcr-2018.pdf (prudentialplc.com)</t>
  </si>
  <si>
    <t>pacl-sfcr-2017.pdf (prudentialplc.com)</t>
  </si>
  <si>
    <t>pacl-sfcr-2016.pdf (prudentialplc.com)</t>
  </si>
  <si>
    <t>M&amp;G</t>
  </si>
  <si>
    <t>MG-plc-SFCR-2023.pdf (mandg.com)</t>
  </si>
  <si>
    <t>single-group-solvency-and-financial-condition-report.pdf (mandg.com)</t>
  </si>
  <si>
    <t xml:space="preserve">https://www.pensioncorporation.com/content/dam/pic/corporate/documents/investors/-pic-and-picg-financial-results-and-reports/regulatory-returns/sfcr_year_end_-31_december_2017_final (1).pdf.downloadasset.pdf </t>
  </si>
  <si>
    <t xml:space="preserve">2018 PICG PIC plc SFCR (pensioncorporation.com) </t>
  </si>
  <si>
    <t>2016 PICG PIC plc SFCR (pensioncorporation.com)</t>
  </si>
  <si>
    <t>https://www.thephoenixgroup.com/media/ssbnw2o1/phoenix-group-solvency-and-financial-condition-report-31-december-2021.pdf</t>
  </si>
  <si>
    <t>phoenix-group-solvency-and-financial-condition-report-31-december-2020.pdf (thephoenixgroup.com)</t>
  </si>
  <si>
    <t>ReAssure</t>
  </si>
  <si>
    <t>phoenix-group-sfcr-31-dec-19-vfinal.pdf (thephoenixgroup.com)</t>
  </si>
  <si>
    <t>2019-reassure-sfcr.pdf (thephoenixgroup.com)</t>
  </si>
  <si>
    <t>https://www.thephoenixgroup.com/media/dzldbmlg/pgh-plc-solvency-and-financial-condition-report-31-december-2018.pdf</t>
  </si>
  <si>
    <t>Standard Life</t>
  </si>
  <si>
    <t>slal-sfcr-2018-signed-with-bookmarks.pdf (thephoenixgroup.com)</t>
  </si>
  <si>
    <t>thephoenixgroup.com/media/3ukfgixs/phoenix-group-solvency-and-financial-condition-report-ye17.pdf</t>
  </si>
  <si>
    <t>Phoenix Group</t>
  </si>
  <si>
    <t>thephoenixgroup.com/media/gvcgoghe/plhl-group-solvency-and-financial-condition-report.pdf</t>
  </si>
  <si>
    <t>sfcr-reassure-group-2018.pdf (swissre.com)</t>
  </si>
  <si>
    <t>SFCR_Reassure_Group_2017.pdf (swissre.com)</t>
  </si>
  <si>
    <t>solvency_and_financial_condition_report_reassure.pdf (swissre.com)</t>
  </si>
  <si>
    <t>Acquired ReAssure</t>
  </si>
  <si>
    <t>31 Dec 22 Aviva plc Group SFCR (4).pdf</t>
  </si>
  <si>
    <t>https://static.aviva.io/content/dam/aviva-corporate/documents/investors/pdfs/regulatoryreturns/2021/31%20Dec%2021%20Aviva%20plc%20Group%20SFCR.pdf</t>
  </si>
  <si>
    <t>https://static.aviva.io/content/dam/aviva-corporate/documents/investors/pdfs/regulatoryreturns/2020/aviva-plc-group-sfcr-2020.pdf</t>
  </si>
  <si>
    <t>https://static.aviva.io/content/dam/aviva-corporate/documents/investors/pdfs/regulatoryreturns/2019/31%20Dec%202019%20-%20Aviva%20plc%20Group%20SFCR.pdf</t>
  </si>
  <si>
    <t>https://static.aviva.io/content/dam/aviva-corporate/documents/investors/pdfs/regulatoryreturns/2018/aviva-plc-group-sfcr.pdf</t>
  </si>
  <si>
    <t>https://static.aviva.io/content/dam/aviva-corporate/documents/investors/pdfs/regulatoryreturns/2017/Solvency-FCR-2017.pdf</t>
  </si>
  <si>
    <t>https://static.aviva.io/content/dam/aviva-corporate/documents/investors/pdfs/regulatoryreturns/2016/Aviva_plc_Group_SFCR_31_December_2016.pdf</t>
  </si>
  <si>
    <t>Canada Life (Ltd)</t>
  </si>
  <si>
    <t>2022-CLL-SFCR.pdf (aprimocdn.net)</t>
  </si>
  <si>
    <t>https://p3.aprimocdn.net/canadalifeuk/CLL%20SFCRII_2023_FINAL%20SIGNED.pdf</t>
  </si>
  <si>
    <t>https://p3.aprimocdn.net/canadalifeuk/2021-cll-sfcr.pdf?</t>
  </si>
  <si>
    <t>cll-2020-sfcr.pdf (aprimocdn.net)</t>
  </si>
  <si>
    <t>https://p3.aprimocdn.net/canadalifeuk/cll-2019-sfcr.pdf</t>
  </si>
  <si>
    <t>https://p3.aprimocdn.net/canadalifeuk/cll-2018-sfcr.pdf</t>
  </si>
  <si>
    <t>https://p3.aprimocdn.net/canadalifeuk/solvency-and-financial-condition-report-cl-uk-2017.pdf</t>
  </si>
  <si>
    <t>https://p3.aprimocdn.net/canadalifeuk/2016-cll-sfcr.pdf</t>
  </si>
  <si>
    <t>Acquired Retirement advantage</t>
  </si>
  <si>
    <t>Retirement Advantage</t>
  </si>
  <si>
    <t>MA Value Y-1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</si>
  <si>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</si>
  <si>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</si>
  <si>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</si>
  <si>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</si>
  <si>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</si>
  <si>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</si>
  <si>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</si>
  <si>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</si>
  <si>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</si>
  <si>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</si>
  <si>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</si>
  <si>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</si>
  <si>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Check MA Value Year</t>
  </si>
  <si>
    <t>Delta</t>
  </si>
  <si>
    <t>Delta/12</t>
  </si>
  <si>
    <t>MA Value Full Year</t>
  </si>
  <si>
    <t>https://static.aviva.io/content/dam/aviva-corporate/documents/investors/pdfs/regulatoryreturns/2023/Aviva-plc-Single-Group-wide-SFCR-2023.pdf</t>
  </si>
  <si>
    <t>Link SFCR</t>
  </si>
  <si>
    <t>M&amp;G plc SFCR - Single Group (mandg.com)</t>
  </si>
  <si>
    <t>MGP SFCR Report (mandg.com)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</si>
</sst>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£&quot;* #,##0.00_-;\-&quot;£&quot;* #,##0.00_-;_-&quot;£&quot;* &quot;-&quot;??_-;_-@_-"/>
    <numFmt numFmtId="164" formatCode="_-&quot;£&quot;* #,##0_-;\-&quot;£&quot;* #,##0_-;_-&quot;£&quot;* &quot;-&quot;??_-;_-@_-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17203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64F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3F2340"/>
        <bgColor indexed="64"/>
      </patternFill>
    </fill>
    <fill>
      <patternFill patternType="solid">
        <fgColor rgb="FFFDC400"/>
        <bgColor indexed="64"/>
      </patternFill>
    </fill>
    <fill>
      <patternFill patternType="solid">
        <fgColor rgb="FF1C345B"/>
        <bgColor indexed="64"/>
      </patternFill>
    </fill>
    <fill>
      <patternFill patternType="solid">
        <fgColor rgb="FF0076D6"/>
        <bgColor indexed="64"/>
      </patternFill>
    </fill>
    <fill>
      <patternFill patternType="solid">
        <fgColor rgb="FFFFD900"/>
        <bgColor indexed="64"/>
      </patternFill>
    </fill>
    <fill>
      <patternFill patternType="solid">
        <fgColor rgb="FFC01634"/>
        <bgColor indexed="64"/>
      </patternFill>
    </fill>
    <fill>
      <patternFill patternType="solid">
        <fgColor rgb="FF065862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253F8E"/>
        <bgColor indexed="64"/>
      </patternFill>
    </fill>
    <fill>
      <patternFill patternType="solid">
        <fgColor rgb="FF4A1C51"/>
        <bgColor indexed="64"/>
      </patternFill>
    </fill>
    <fill>
      <patternFill patternType="solid">
        <fgColor rgb="FF39383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0C1AC"/>
        <bgColor indexed="64"/>
      </patternFill>
    </fill>
    <fill>
      <patternFill patternType="solid">
        <fgColor rgb="FF00877B"/>
        <bgColor indexed="64"/>
      </patternFill>
    </fill>
  </fills>
  <borders count="5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8">
    <xf numFmtId="0" fontId="0" fillId="0" borderId="0" xfId="0"/>
    <xf numFmtId="0" fontId="3" fillId="0" borderId="0" xfId="2"/>
    <xf numFmtId="0" fontId="2" fillId="2" borderId="0" xfId="0" applyFont="1" applyFill="1"/>
    <xf numFmtId="0" fontId="0" fillId="0" borderId="1" xfId="0" applyBorder="1"/>
    <xf numFmtId="0" fontId="3" fillId="0" borderId="1" xfId="2" applyBorder="1"/>
    <xf numFmtId="164" fontId="0" fillId="0" borderId="1" xfId="1" applyNumberFormat="1" applyFont="1" applyBorder="1"/>
    <xf numFmtId="0" fontId="0" fillId="0" borderId="3" xfId="0" applyBorder="1"/>
    <xf numFmtId="0" fontId="3" fillId="3" borderId="1" xfId="2" applyFill="1" applyBorder="1"/>
    <xf numFmtId="0" fontId="0" fillId="3" borderId="1" xfId="0" applyFill="1" applyBorder="1"/>
    <xf numFmtId="0" fontId="2" fillId="2" borderId="1" xfId="0" applyFont="1" applyFill="1" applyBorder="1" applyAlignment="1">
      <alignment horizontal="center"/>
    </xf>
    <xf numFmtId="0" fontId="2" fillId="2" borderId="0" xfId="0" applyFont="1" applyFill="1" applyAlignment="1">
      <alignment wrapText="1"/>
    </xf>
    <xf numFmtId="0" fontId="0" fillId="0" borderId="0" xfId="0" applyAlignment="1">
      <alignment wrapText="1"/>
    </xf>
    <xf numFmtId="0" fontId="4" fillId="0" borderId="0" xfId="0" applyFont="1"/>
    <xf numFmtId="0" fontId="2" fillId="2" borderId="0" xfId="0" applyFont="1" applyFill="1" applyAlignment="1">
      <alignment vertical="top" wrapText="1"/>
    </xf>
    <xf numFmtId="0" fontId="4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 vertical="top" wrapText="1"/>
    </xf>
    <xf numFmtId="3" fontId="0" fillId="0" borderId="0" xfId="0" applyNumberFormat="1"/>
    <xf numFmtId="164" fontId="0" fillId="3" borderId="1" xfId="1" applyNumberFormat="1" applyFont="1" applyFill="1" applyBorder="1"/>
    <xf numFmtId="164" fontId="0" fillId="0" borderId="0" xfId="1" applyNumberFormat="1" applyFont="1"/>
    <xf numFmtId="0" fontId="3" fillId="0" borderId="1" xfId="2" applyFill="1" applyBorder="1"/>
    <xf numFmtId="0" fontId="0" fillId="0" borderId="2" xfId="0" applyBorder="1"/>
    <xf numFmtId="0" fontId="3" fillId="3" borderId="0" xfId="2" applyFill="1"/>
    <xf numFmtId="164" fontId="0" fillId="3" borderId="0" xfId="1" applyNumberFormat="1" applyFont="1" applyFill="1"/>
    <xf numFmtId="164" fontId="0" fillId="0" borderId="0" xfId="0" applyNumberFormat="1"/>
    <xf numFmtId="164" fontId="0" fillId="3" borderId="0" xfId="0" applyNumberFormat="1" applyFill="1"/>
    <xf numFmtId="0" fontId="0" fillId="3" borderId="0" xfId="0" applyFill="1"/>
    <xf numFmtId="0" fontId="0" fillId="8" borderId="0" xfId="0" applyFill="1"/>
    <xf numFmtId="0" fontId="0" fillId="0" borderId="0" xfId="0" applyAlignment="1">
      <alignment vertical="center"/>
    </xf>
    <xf numFmtId="0" fontId="0" fillId="17" borderId="0" xfId="0" applyFill="1"/>
    <xf numFmtId="0" fontId="0" fillId="18" borderId="0" xfId="0" applyFill="1"/>
    <xf numFmtId="0" fontId="0" fillId="10" borderId="0" xfId="0" applyFill="1"/>
    <xf numFmtId="0" fontId="0" fillId="11" borderId="0" xfId="0" applyFill="1"/>
    <xf numFmtId="0" fontId="0" fillId="5" borderId="0" xfId="0" applyFill="1"/>
    <xf numFmtId="0" fontId="0" fillId="9" borderId="0" xfId="0" applyFill="1"/>
    <xf numFmtId="0" fontId="0" fillId="12" borderId="0" xfId="0" applyFill="1"/>
    <xf numFmtId="0" fontId="0" fillId="7" borderId="0" xfId="0" applyFill="1"/>
    <xf numFmtId="0" fontId="0" fillId="6" borderId="0" xfId="0" applyFill="1"/>
    <xf numFmtId="0" fontId="0" fillId="13" borderId="0" xfId="0" applyFill="1"/>
    <xf numFmtId="0" fontId="0" fillId="14" borderId="0" xfId="0" applyFill="1"/>
    <xf numFmtId="0" fontId="0" fillId="16" borderId="0" xfId="0" applyFill="1"/>
    <xf numFmtId="0" fontId="0" fillId="15" borderId="0" xfId="0" applyFill="1"/>
    <xf numFmtId="0" fontId="0" fillId="4" borderId="0" xfId="0" applyFill="1"/>
    <xf numFmtId="0" fontId="0" fillId="19" borderId="0" xfId="0" applyFill="1"/>
    <xf numFmtId="164" fontId="0" fillId="0" borderId="4" xfId="1" applyNumberFormat="1" applyFont="1" applyFill="1" applyBorder="1"/>
    <xf numFmtId="0" fontId="0" fillId="0" borderId="1" xfId="0" applyFill="1" applyBorder="1"/>
    <xf numFmtId="164" fontId="0" fillId="0" borderId="1" xfId="1" applyNumberFormat="1" applyFont="1" applyFill="1" applyBorder="1"/>
    <xf numFmtId="164" fontId="0" fillId="0" borderId="0" xfId="0" applyNumberFormat="1" applyFill="1"/>
    <xf numFmtId="0" fontId="0" fillId="0" borderId="0" xfId="0" applyFill="1"/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00877B"/>
      <color rgb="FF40C1AC"/>
      <color rgb="FF393839"/>
      <color rgb="FF4A1C51"/>
      <color rgb="FF253F8E"/>
      <color rgb="FFCC0000"/>
      <color rgb="FF065862"/>
      <color rgb="FFC01634"/>
      <color rgb="FFFFD900"/>
      <color rgb="FF0076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group.legalandgeneral.com/media/sgxm53ph/group_sfcr-2021_signed.pdf" TargetMode="External"/><Relationship Id="rId21" Type="http://schemas.openxmlformats.org/officeDocument/2006/relationships/hyperlink" Target="https://www.royallondon.com/siteassets/site-docs/about-us/corporate-goverance/regulatory-returns-and-publications/single-group-solvency-and-financial-condition-report-2022.pdf" TargetMode="External"/><Relationship Id="rId42" Type="http://schemas.openxmlformats.org/officeDocument/2006/relationships/hyperlink" Target="https://adviser.scottishwidows.co.uk/assets/literature/docs/Group-SFCR-2020.pdf" TargetMode="External"/><Relationship Id="rId47" Type="http://schemas.openxmlformats.org/officeDocument/2006/relationships/hyperlink" Target="https://www.thephoenixgroup.com/media/jruhvzki/phoenix-group-solvency-and-financial-condition-report-31-december-2022.pdf" TargetMode="External"/><Relationship Id="rId63" Type="http://schemas.openxmlformats.org/officeDocument/2006/relationships/hyperlink" Target="https://static.aviva.io/content/dam/aviva-corporate/documents/investors/pdfs/regulatoryreturns/2018/aviva-plc-group-sfcr.pdf" TargetMode="External"/><Relationship Id="rId68" Type="http://schemas.openxmlformats.org/officeDocument/2006/relationships/hyperlink" Target="https://p3.aprimocdn.net/canadalifeuk/2021-cll-sfcr.pdf?" TargetMode="External"/><Relationship Id="rId2" Type="http://schemas.openxmlformats.org/officeDocument/2006/relationships/hyperlink" Target="https://www.rothesay.com/media/hyxh34br/rothesay-sfcr-2023.pdf" TargetMode="External"/><Relationship Id="rId16" Type="http://schemas.openxmlformats.org/officeDocument/2006/relationships/hyperlink" Target="https://www.prudentialplc.com/~/media/Files/P/Prudential-V13/reports/2017/pacl-sfcr-2017.pdf" TargetMode="External"/><Relationship Id="rId29" Type="http://schemas.openxmlformats.org/officeDocument/2006/relationships/hyperlink" Target="https://group.legalandgeneral.com/media/avkabega/sii-sfcr-2018_group-_published.pdf" TargetMode="External"/><Relationship Id="rId11" Type="http://schemas.openxmlformats.org/officeDocument/2006/relationships/hyperlink" Target="https://www.pensioncorporation.com/content/dam/pic/corporate/documents/investors/-pic-and-picg-financial-results-and-reports/regulatory-returns/sfcr-year-end-31-december-2020%20(2).pdf.downloadasset.pdf" TargetMode="External"/><Relationship Id="rId24" Type="http://schemas.openxmlformats.org/officeDocument/2006/relationships/hyperlink" Target="https://group.legalandgeneral.com/media/w3jj3uqn/legal-and-general-group-plc_2023_sfcr.pdf" TargetMode="External"/><Relationship Id="rId32" Type="http://schemas.openxmlformats.org/officeDocument/2006/relationships/hyperlink" Target="https://www.justgroupplc.co.uk/~/media/Files/J/Just-Retirement-Corp/investor-docs/financial-reports-and-presentations/2023/Just%20Group%20SFCR%202022.pdf" TargetMode="External"/><Relationship Id="rId37" Type="http://schemas.openxmlformats.org/officeDocument/2006/relationships/hyperlink" Target="https://www.justgroupplc.co.uk/~/media/Files/J/Just-Retirement-Corp/investor-docs/financial-reports-and-presentations/2019/Just%20Group%20SFCR%202018.pdf" TargetMode="External"/><Relationship Id="rId40" Type="http://schemas.openxmlformats.org/officeDocument/2006/relationships/hyperlink" Target="https://adviser.scottishwidows.co.uk/assets/literature/docs/Group-SFCR-2018.pdf" TargetMode="External"/><Relationship Id="rId45" Type="http://schemas.openxmlformats.org/officeDocument/2006/relationships/hyperlink" Target="https://adviser.scottishwidows.co.uk/assets/literature/docs/group_sfcr_2023.pdf" TargetMode="External"/><Relationship Id="rId53" Type="http://schemas.openxmlformats.org/officeDocument/2006/relationships/hyperlink" Target="https://www.thephoenixgroup.com/media/xhmnmodf/2019-reassure-sfcr.pdf" TargetMode="External"/><Relationship Id="rId58" Type="http://schemas.openxmlformats.org/officeDocument/2006/relationships/hyperlink" Target="https://www.swissre.com/dam/jcr:91774f33-d98f-44cb-93c7-2d7118262595/sfcr-reassure-group-2018.pdf" TargetMode="External"/><Relationship Id="rId66" Type="http://schemas.openxmlformats.org/officeDocument/2006/relationships/hyperlink" Target="https://p3.aprimocdn.net/canadalifeuk/2022-CLL-SFCR.pdf" TargetMode="External"/><Relationship Id="rId74" Type="http://schemas.openxmlformats.org/officeDocument/2006/relationships/hyperlink" Target="https://www.mandg.com/~/media/Files/M/MandG-Plc/documents/investors/SFCR/mg-plc-fy21-single-group-sfcr.pdf" TargetMode="External"/><Relationship Id="rId5" Type="http://schemas.openxmlformats.org/officeDocument/2006/relationships/hyperlink" Target="https://www.rothesay.com/media/ll3hbwp2/rothesay-life-sfcr-2018.pdf" TargetMode="External"/><Relationship Id="rId61" Type="http://schemas.openxmlformats.org/officeDocument/2006/relationships/hyperlink" Target="file:///C:\Users\ChristianPreece\Downloads\31%20Dec%2022%20Aviva%20plc%20Group%20SFCR%20(4).pdf" TargetMode="External"/><Relationship Id="rId19" Type="http://schemas.openxmlformats.org/officeDocument/2006/relationships/hyperlink" Target="https://www.mandg.com/~/media/Files/M/MandG-Plc/documents/investors/2024/MG-plc-SFCR-2023.pdf" TargetMode="External"/><Relationship Id="rId14" Type="http://schemas.openxmlformats.org/officeDocument/2006/relationships/hyperlink" Target="https://www.pensioncorporation.com/content/dam/pic/corporate/documents/investors/-pic-and-picg-financial-results-and-reports/regulatory-returns/2023-PIC-SFCR.pdf.downloadasset.pdf" TargetMode="External"/><Relationship Id="rId22" Type="http://schemas.openxmlformats.org/officeDocument/2006/relationships/hyperlink" Target="https://www.royallondon.com/siteassets/site-docs/about-us/corporate-goverance/regulatory-returns-and-publications/single-group-solvency-and-financial-condition-report-2021.pdf" TargetMode="External"/><Relationship Id="rId27" Type="http://schemas.openxmlformats.org/officeDocument/2006/relationships/hyperlink" Target="https://group.legalandgeneral.com/media/bfrlwnj4/lg-group-plc-sfcr.pdf" TargetMode="External"/><Relationship Id="rId30" Type="http://schemas.openxmlformats.org/officeDocument/2006/relationships/hyperlink" Target="https://group.legalandgeneral.com/media/yuqcjkv5/lg-group-sfcr-2017-final-published.pdf" TargetMode="External"/><Relationship Id="rId35" Type="http://schemas.openxmlformats.org/officeDocument/2006/relationships/hyperlink" Target="https://www.justgroupplc.co.uk/~/media/Files/J/Just-Retirement-Corp/investor-docs/financial-reports-and-presentations/2021/Just%20Group%20SFCR%202020%20090420%20FINAL.pdf" TargetMode="External"/><Relationship Id="rId43" Type="http://schemas.openxmlformats.org/officeDocument/2006/relationships/hyperlink" Target="https://adviser.scottishwidows.co.uk/assets/literature/docs/Group-SFCR-2021.pdf" TargetMode="External"/><Relationship Id="rId48" Type="http://schemas.openxmlformats.org/officeDocument/2006/relationships/hyperlink" Target="https://www.pensioncorporation.com/content/dam/pic/corporate/documents/investors/-pic-and-picg-financial-results-and-reports/regulatory-returns/sfcr_year_end_-31_december_2017_final%20(1).pdf.downloadasset.pdf" TargetMode="External"/><Relationship Id="rId56" Type="http://schemas.openxmlformats.org/officeDocument/2006/relationships/hyperlink" Target="https://www.thephoenixgroup.com/media/3ukfgixs/phoenix-group-solvency-and-financial-condition-report-ye17.pdf" TargetMode="External"/><Relationship Id="rId64" Type="http://schemas.openxmlformats.org/officeDocument/2006/relationships/hyperlink" Target="https://static.aviva.io/content/dam/aviva-corporate/documents/investors/pdfs/regulatoryreturns/2017/Solvency-FCR-2017.pdf" TargetMode="External"/><Relationship Id="rId69" Type="http://schemas.openxmlformats.org/officeDocument/2006/relationships/hyperlink" Target="https://p3.aprimocdn.net/canadalifeuk/cll-2020-sfcr.pdf?_ga=2.32984694.974404502.1649067887-1621884553.1639499390" TargetMode="External"/><Relationship Id="rId8" Type="http://schemas.openxmlformats.org/officeDocument/2006/relationships/hyperlink" Target="https://www.rothesay.com/media/ngrf3d1l/rothesay-sfcr-2021.pdf" TargetMode="External"/><Relationship Id="rId51" Type="http://schemas.openxmlformats.org/officeDocument/2006/relationships/hyperlink" Target="https://www.thephoenixgroup.com/media/n1kkkwsy/phoenix-group-solvency-and-financial-condition-report-31-december-2020.pdf" TargetMode="External"/><Relationship Id="rId72" Type="http://schemas.openxmlformats.org/officeDocument/2006/relationships/hyperlink" Target="https://p3.aprimocdn.net/canadalifeuk/solvency-and-financial-condition-report-cl-uk-2017.pdf" TargetMode="External"/><Relationship Id="rId3" Type="http://schemas.openxmlformats.org/officeDocument/2006/relationships/hyperlink" Target="https://www.rothesay.com/media/50cn0t2s/rothesay-life-sfc-report.pdf" TargetMode="External"/><Relationship Id="rId12" Type="http://schemas.openxmlformats.org/officeDocument/2006/relationships/hyperlink" Target="https://www.pensioncorporation.com/content/dam/pic/corporate/documents/investors/-pic-and-picg-financial-results-and-reports/regulatory-returns/sfcr-year-end-31-december-2021.pdf.downloadasset.pdf" TargetMode="External"/><Relationship Id="rId17" Type="http://schemas.openxmlformats.org/officeDocument/2006/relationships/hyperlink" Target="https://www.prudentialplc.com/~/media/Files/P/Prudential-V13/reports/2018/pacl-sfcr-2018.pdf" TargetMode="External"/><Relationship Id="rId25" Type="http://schemas.openxmlformats.org/officeDocument/2006/relationships/hyperlink" Target="https://group.legalandgeneral.com/media/0tieanra/group-sfcr-2022-final-signed.pdf" TargetMode="External"/><Relationship Id="rId33" Type="http://schemas.openxmlformats.org/officeDocument/2006/relationships/hyperlink" Target="https://www.justgroupplc.co.uk/~/media/Files/J/Just-Retirement-Corp/investor-docs/financial-reports-and-presentations/2024/just-group-sfcr-2023.pdf" TargetMode="External"/><Relationship Id="rId38" Type="http://schemas.openxmlformats.org/officeDocument/2006/relationships/hyperlink" Target="https://www.justgroupplc.co.uk/~/media/Files/J/Just-Retirement-Corp/investor-docs/financial-reports-and-presentations/Regulatory%20returns/sfcr-as-at-31-december-2017.pdf" TargetMode="External"/><Relationship Id="rId46" Type="http://schemas.openxmlformats.org/officeDocument/2006/relationships/hyperlink" Target="https://www.thephoenixgroup.com/media/xfalu2gb/phoenix-group-solvency-and-financial-condition-report-31-december-2023.pdf" TargetMode="External"/><Relationship Id="rId59" Type="http://schemas.openxmlformats.org/officeDocument/2006/relationships/hyperlink" Target="https://www.swissre.com/dam/jcr:52e20329-3c7a-46a6-9005-0d40dfe9ab6b/SFCR_Reassure_Group_2017.pdf" TargetMode="External"/><Relationship Id="rId67" Type="http://schemas.openxmlformats.org/officeDocument/2006/relationships/hyperlink" Target="https://p3.aprimocdn.net/canadalifeuk/CLL%20SFCRII_2023_FINAL%20SIGNED.pdf" TargetMode="External"/><Relationship Id="rId20" Type="http://schemas.openxmlformats.org/officeDocument/2006/relationships/hyperlink" Target="https://www.royallondon.com/siteassets/site-docs/about-us/corporate-goverance/regulatory-returns-and-publications/single-group-solvency-and-financial-condition-report-2023.pdf" TargetMode="External"/><Relationship Id="rId41" Type="http://schemas.openxmlformats.org/officeDocument/2006/relationships/hyperlink" Target="https://adviser.scottishwidows.co.uk/assets/literature/docs/Group-SFCR-2019.pdf" TargetMode="External"/><Relationship Id="rId54" Type="http://schemas.openxmlformats.org/officeDocument/2006/relationships/hyperlink" Target="https://www.thephoenixgroup.com/media/dzldbmlg/pgh-plc-solvency-and-financial-condition-report-31-december-2018.pdf" TargetMode="External"/><Relationship Id="rId62" Type="http://schemas.openxmlformats.org/officeDocument/2006/relationships/hyperlink" Target="https://static.aviva.io/content/dam/aviva-corporate/documents/investors/pdfs/regulatoryreturns/2019/31%20Dec%202019%20-%20Aviva%20plc%20Group%20SFCR.pdf" TargetMode="External"/><Relationship Id="rId70" Type="http://schemas.openxmlformats.org/officeDocument/2006/relationships/hyperlink" Target="https://p3.aprimocdn.net/canadalifeuk/cll-2019-sfcr.pdf" TargetMode="External"/><Relationship Id="rId75" Type="http://schemas.openxmlformats.org/officeDocument/2006/relationships/hyperlink" Target="https://www.mandg.com/~/media/Files/M/MandG-Plc/documents/investors/Regulatory%20Returns/2020/MG-plc-SFCR-Report-YE20.pdf" TargetMode="External"/><Relationship Id="rId1" Type="http://schemas.openxmlformats.org/officeDocument/2006/relationships/hyperlink" Target="https://www.rothesay.com/media/4kzjcj1x/rothesay-scfr-2022.pdf" TargetMode="External"/><Relationship Id="rId6" Type="http://schemas.openxmlformats.org/officeDocument/2006/relationships/hyperlink" Target="https://www.rothesay.com/media/zl1c4sqg/33480_rothesaylife_sfcr2019_aw_final.pdf" TargetMode="External"/><Relationship Id="rId15" Type="http://schemas.openxmlformats.org/officeDocument/2006/relationships/hyperlink" Target="https://www.prudentialplc.com/~/media/Files/P/Prudential-V13/reports/2016/pacl-sfcr-2016.pdf" TargetMode="External"/><Relationship Id="rId23" Type="http://schemas.openxmlformats.org/officeDocument/2006/relationships/hyperlink" Target="file:///C:\Users\ChristianPreece\Downloads\Aviva-plc-Single-Group-wide-SFCR-2023%20(1).pdf" TargetMode="External"/><Relationship Id="rId28" Type="http://schemas.openxmlformats.org/officeDocument/2006/relationships/hyperlink" Target="https://group.legalandgeneral.com/media/pxtn454f/sfcr-legal-general-group-plc.pdf" TargetMode="External"/><Relationship Id="rId36" Type="http://schemas.openxmlformats.org/officeDocument/2006/relationships/hyperlink" Target="https://www.justgroupplc.co.uk/~/media/Files/J/Just-Retirement-Corp/investor-docs/financial-reports-and-presentations/2020/just-group-2019-sfcr.pdf" TargetMode="External"/><Relationship Id="rId49" Type="http://schemas.openxmlformats.org/officeDocument/2006/relationships/hyperlink" Target="https://www.pensioncorporation.com/content/dam/pic/corporate/documents/investors/-pic-and-picg-financial-results-and-reports/regulatory-returns/sfcr-year-end-31-december-2016-final.pdf.downloadasset.pdf" TargetMode="External"/><Relationship Id="rId57" Type="http://schemas.openxmlformats.org/officeDocument/2006/relationships/hyperlink" Target="https://www.thephoenixgroup.com/media/gvcgoghe/plhl-group-solvency-and-financial-condition-report.pdf" TargetMode="External"/><Relationship Id="rId10" Type="http://schemas.openxmlformats.org/officeDocument/2006/relationships/hyperlink" Target="https://www.pensioncorporation.com/content/dam/pic/corporate/documents/investors/-pic-and-picg-financial-results-and-reports/regulatory-returns/sfcr-year-end-31-december-2019%20(2).pdf.downloadasset.pdf" TargetMode="External"/><Relationship Id="rId31" Type="http://schemas.openxmlformats.org/officeDocument/2006/relationships/hyperlink" Target="https://group.legalandgeneral.com/media/x0xhtr0w/solvency-and-financial-condition-group-2016.pdf" TargetMode="External"/><Relationship Id="rId44" Type="http://schemas.openxmlformats.org/officeDocument/2006/relationships/hyperlink" Target="https://adviser.scottishwidows.co.uk/assets/literature/docs/group_sfcr_2022.pdf" TargetMode="External"/><Relationship Id="rId52" Type="http://schemas.openxmlformats.org/officeDocument/2006/relationships/hyperlink" Target="https://www.thephoenixgroup.com/media/lmrcwnki/phoenix-group-sfcr-31-dec-19-vfinal.pdf" TargetMode="External"/><Relationship Id="rId60" Type="http://schemas.openxmlformats.org/officeDocument/2006/relationships/hyperlink" Target="https://www.swissre.com/dam/jcr:31f2bc03-52ec-4a10-891a-a26ad34e8388/solvency_and_financial_condition_report_reassure.pdf" TargetMode="External"/><Relationship Id="rId65" Type="http://schemas.openxmlformats.org/officeDocument/2006/relationships/hyperlink" Target="https://static.aviva.io/content/dam/aviva-corporate/documents/investors/pdfs/regulatoryreturns/2016/Aviva_plc_Group_SFCR_31_December_2016.pdf" TargetMode="External"/><Relationship Id="rId73" Type="http://schemas.openxmlformats.org/officeDocument/2006/relationships/hyperlink" Target="https://p3.aprimocdn.net/canadalifeuk/2016-cll-sfcr.pdf" TargetMode="External"/><Relationship Id="rId4" Type="http://schemas.openxmlformats.org/officeDocument/2006/relationships/hyperlink" Target="https://www.rothesay.com/media/kfxffwjf/rothesay-life-sfcr-2017.pdf" TargetMode="External"/><Relationship Id="rId9" Type="http://schemas.openxmlformats.org/officeDocument/2006/relationships/hyperlink" Target="https://www.pensioncorporation.com/content/dam/pic/corporate/documents/investors/-pic-and-picg-financial-results-and-reports/regulatory-returns/sfcr-year-end-31-december-2019%20(2).pdf.downloadasset.pdf" TargetMode="External"/><Relationship Id="rId13" Type="http://schemas.openxmlformats.org/officeDocument/2006/relationships/hyperlink" Target="https://www.pensioncorporation.com/content/dam/pic/corporate/documents/investors/-pic-and-picg-financial-results-and-reports/regulatory-returns/PIC-SFCR-2022.pdf.downloadasset.pdf" TargetMode="External"/><Relationship Id="rId18" Type="http://schemas.openxmlformats.org/officeDocument/2006/relationships/hyperlink" Target="https://www.mandg.com/~/media/Files/M/MandG-Plc/documents/investors/SFCR/single-group-solvency-and-financial-condition-report.pdf" TargetMode="External"/><Relationship Id="rId39" Type="http://schemas.openxmlformats.org/officeDocument/2006/relationships/hyperlink" Target="https://www.justgroupplc.co.uk/~/media/Files/J/Just-Retirement-Corp/investor-docs/financial-reports-and-presentations/Regulatory%20returns/Just%20Group%20plc%20Solvency%20and%20Financial%20Condition%20Report%20as%20at%2031%20December%202016.pdf" TargetMode="External"/><Relationship Id="rId34" Type="http://schemas.openxmlformats.org/officeDocument/2006/relationships/hyperlink" Target="https://www.justgroupplc.co.uk/~/media/Files/J/Just-Retirement-Corp/investor-docs/financial-reports-and-presentations/2022/Just%20Group%20SFCR%202021.pdf" TargetMode="External"/><Relationship Id="rId50" Type="http://schemas.openxmlformats.org/officeDocument/2006/relationships/hyperlink" Target="https://www.thephoenixgroup.com/media/ssbnw2o1/phoenix-group-solvency-and-financial-condition-report-31-december-2021.pdf" TargetMode="External"/><Relationship Id="rId55" Type="http://schemas.openxmlformats.org/officeDocument/2006/relationships/hyperlink" Target="https://www.thephoenixgroup.com/media/lzmncmec/slal-sfcr-2018-signed-with-bookmarks.pdf" TargetMode="External"/><Relationship Id="rId76" Type="http://schemas.openxmlformats.org/officeDocument/2006/relationships/hyperlink" Target="https://www.mandg.com/~/media/Files/M/MandG-Plc/documents/investors/SFCR/MGplc-group-solvency-financial-condition-report-2019.pdf" TargetMode="External"/><Relationship Id="rId7" Type="http://schemas.openxmlformats.org/officeDocument/2006/relationships/hyperlink" Target="https://www.rothesay.com/media/4rydeafx/rothesay_sfcr_2020.pdf" TargetMode="External"/><Relationship Id="rId71" Type="http://schemas.openxmlformats.org/officeDocument/2006/relationships/hyperlink" Target="https://p3.aprimocdn.net/canadalifeuk/cll-2018-sfcr.pdf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group.legalandgeneral.com/media/avkabega/sii-sfcr-2018_group-_published.pdf" TargetMode="External"/><Relationship Id="rId21" Type="http://schemas.openxmlformats.org/officeDocument/2006/relationships/hyperlink" Target="https://group.legalandgeneral.com/media/w3jj3uqn/legal-and-general-group-plc_2023_sfcr.pdf" TargetMode="External"/><Relationship Id="rId42" Type="http://schemas.openxmlformats.org/officeDocument/2006/relationships/hyperlink" Target="https://adviser.scottishwidows.co.uk/assets/literature/docs/group_sfcr_2023.pdf" TargetMode="External"/><Relationship Id="rId47" Type="http://schemas.openxmlformats.org/officeDocument/2006/relationships/hyperlink" Target="https://www.thephoenixgroup.com/media/ssbnw2o1/phoenix-group-solvency-and-financial-condition-report-31-december-2021.pdf" TargetMode="External"/><Relationship Id="rId63" Type="http://schemas.openxmlformats.org/officeDocument/2006/relationships/hyperlink" Target="https://p3.aprimocdn.net/canadalifeuk/2022-CLL-SFCR.pdf" TargetMode="External"/><Relationship Id="rId68" Type="http://schemas.openxmlformats.org/officeDocument/2006/relationships/hyperlink" Target="https://p3.aprimocdn.net/canadalifeuk/cll-2018-sfcr.pdf" TargetMode="External"/><Relationship Id="rId2" Type="http://schemas.openxmlformats.org/officeDocument/2006/relationships/hyperlink" Target="https://www.rothesay.com/media/hyxh34br/rothesay-sfcr-2023.pdf" TargetMode="External"/><Relationship Id="rId16" Type="http://schemas.openxmlformats.org/officeDocument/2006/relationships/hyperlink" Target="https://www.prudentialplc.com/~/media/Files/P/Prudential-V13/reports/2017/pacl-sfcr-2017.pdf" TargetMode="External"/><Relationship Id="rId29" Type="http://schemas.openxmlformats.org/officeDocument/2006/relationships/hyperlink" Target="https://www.justgroupplc.co.uk/~/media/Files/J/Just-Retirement-Corp/investor-docs/financial-reports-and-presentations/2023/Just%20Group%20SFCR%202022.pdf" TargetMode="External"/><Relationship Id="rId11" Type="http://schemas.openxmlformats.org/officeDocument/2006/relationships/hyperlink" Target="https://www.pensioncorporation.com/content/dam/pic/corporate/documents/investors/-pic-and-picg-financial-results-and-reports/regulatory-returns/sfcr-year-end-31-december-2020%20(2).pdf.downloadasset.pdf" TargetMode="External"/><Relationship Id="rId24" Type="http://schemas.openxmlformats.org/officeDocument/2006/relationships/hyperlink" Target="https://group.legalandgeneral.com/media/bfrlwnj4/lg-group-plc-sfcr.pdf" TargetMode="External"/><Relationship Id="rId32" Type="http://schemas.openxmlformats.org/officeDocument/2006/relationships/hyperlink" Target="https://www.justgroupplc.co.uk/~/media/Files/J/Just-Retirement-Corp/investor-docs/financial-reports-and-presentations/2021/Just%20Group%20SFCR%202020%20090420%20FINAL.pdf" TargetMode="External"/><Relationship Id="rId37" Type="http://schemas.openxmlformats.org/officeDocument/2006/relationships/hyperlink" Target="https://adviser.scottishwidows.co.uk/assets/literature/docs/Group-SFCR-2018.pdf" TargetMode="External"/><Relationship Id="rId40" Type="http://schemas.openxmlformats.org/officeDocument/2006/relationships/hyperlink" Target="https://adviser.scottishwidows.co.uk/assets/literature/docs/Group-SFCR-2021.pdf" TargetMode="External"/><Relationship Id="rId45" Type="http://schemas.openxmlformats.org/officeDocument/2006/relationships/hyperlink" Target="https://www.pensioncorporation.com/content/dam/pic/corporate/documents/investors/-pic-and-picg-financial-results-and-reports/regulatory-returns/sfcr_year_end_-31_december_2017_final%20(1).pdf.downloadasset.pdf" TargetMode="External"/><Relationship Id="rId53" Type="http://schemas.openxmlformats.org/officeDocument/2006/relationships/hyperlink" Target="https://www.thephoenixgroup.com/media/3ukfgixs/phoenix-group-solvency-and-financial-condition-report-ye17.pdf" TargetMode="External"/><Relationship Id="rId58" Type="http://schemas.openxmlformats.org/officeDocument/2006/relationships/hyperlink" Target="file:///C:\Users\ChristianPreece\Downloads\31%20Dec%2022%20Aviva%20plc%20Group%20SFCR%20(4).pdf" TargetMode="External"/><Relationship Id="rId66" Type="http://schemas.openxmlformats.org/officeDocument/2006/relationships/hyperlink" Target="https://p3.aprimocdn.net/canadalifeuk/cll-2020-sfcr.pdf?_ga=2.32984694.974404502.1649067887-1621884553.1639499390" TargetMode="External"/><Relationship Id="rId74" Type="http://schemas.openxmlformats.org/officeDocument/2006/relationships/hyperlink" Target="https://www.mandg.com/~/media/Files/M/MandG-Plc/documents/investors/Regulatory%20Returns/2020/MG-plc-SFCR-Report-YE20.pdf" TargetMode="External"/><Relationship Id="rId5" Type="http://schemas.openxmlformats.org/officeDocument/2006/relationships/hyperlink" Target="https://www.rothesay.com/media/ll3hbwp2/rothesay-life-sfcr-2018.pdf" TargetMode="External"/><Relationship Id="rId61" Type="http://schemas.openxmlformats.org/officeDocument/2006/relationships/hyperlink" Target="https://static.aviva.io/content/dam/aviva-corporate/documents/investors/pdfs/regulatoryreturns/2017/Solvency-FCR-2017.pdf" TargetMode="External"/><Relationship Id="rId19" Type="http://schemas.openxmlformats.org/officeDocument/2006/relationships/hyperlink" Target="https://www.royallondon.com/siteassets/site-docs/about-us/corporate-goverance/regulatory-returns-and-publications/single-group-solvency-and-financial-condition-report-2022.pdf" TargetMode="External"/><Relationship Id="rId14" Type="http://schemas.openxmlformats.org/officeDocument/2006/relationships/hyperlink" Target="https://www.pensioncorporation.com/content/dam/pic/corporate/documents/investors/-pic-and-picg-financial-results-and-reports/regulatory-returns/2023-PIC-SFCR.pdf.downloadasset.pdf" TargetMode="External"/><Relationship Id="rId22" Type="http://schemas.openxmlformats.org/officeDocument/2006/relationships/hyperlink" Target="https://group.legalandgeneral.com/media/0tieanra/group-sfcr-2022-final-signed.pdf" TargetMode="External"/><Relationship Id="rId27" Type="http://schemas.openxmlformats.org/officeDocument/2006/relationships/hyperlink" Target="https://group.legalandgeneral.com/media/yuqcjkv5/lg-group-sfcr-2017-final-published.pdf" TargetMode="External"/><Relationship Id="rId30" Type="http://schemas.openxmlformats.org/officeDocument/2006/relationships/hyperlink" Target="https://www.justgroupplc.co.uk/~/media/Files/J/Just-Retirement-Corp/investor-docs/financial-reports-and-presentations/2024/just-group-sfcr-2023.pdf" TargetMode="External"/><Relationship Id="rId35" Type="http://schemas.openxmlformats.org/officeDocument/2006/relationships/hyperlink" Target="https://www.justgroupplc.co.uk/~/media/Files/J/Just-Retirement-Corp/investor-docs/financial-reports-and-presentations/Regulatory%20returns/sfcr-as-at-31-december-2017.pdf" TargetMode="External"/><Relationship Id="rId43" Type="http://schemas.openxmlformats.org/officeDocument/2006/relationships/hyperlink" Target="https://www.thephoenixgroup.com/media/xfalu2gb/phoenix-group-solvency-and-financial-condition-report-31-december-2023.pdf" TargetMode="External"/><Relationship Id="rId48" Type="http://schemas.openxmlformats.org/officeDocument/2006/relationships/hyperlink" Target="https://www.thephoenixgroup.com/media/n1kkkwsy/phoenix-group-solvency-and-financial-condition-report-31-december-2020.pdf" TargetMode="External"/><Relationship Id="rId56" Type="http://schemas.openxmlformats.org/officeDocument/2006/relationships/hyperlink" Target="https://www.swissre.com/dam/jcr:52e20329-3c7a-46a6-9005-0d40dfe9ab6b/SFCR_Reassure_Group_2017.pdf" TargetMode="External"/><Relationship Id="rId64" Type="http://schemas.openxmlformats.org/officeDocument/2006/relationships/hyperlink" Target="https://p3.aprimocdn.net/canadalifeuk/CLL%20SFCRII_2023_FINAL%20SIGNED.pdf" TargetMode="External"/><Relationship Id="rId69" Type="http://schemas.openxmlformats.org/officeDocument/2006/relationships/hyperlink" Target="https://p3.aprimocdn.net/canadalifeuk/solvency-and-financial-condition-report-cl-uk-2017.pdf" TargetMode="External"/><Relationship Id="rId8" Type="http://schemas.openxmlformats.org/officeDocument/2006/relationships/hyperlink" Target="https://www.rothesay.com/media/ngrf3d1l/rothesay-sfcr-2021.pdf" TargetMode="External"/><Relationship Id="rId51" Type="http://schemas.openxmlformats.org/officeDocument/2006/relationships/hyperlink" Target="https://www.thephoenixgroup.com/media/dzldbmlg/pgh-plc-solvency-and-financial-condition-report-31-december-2018.pdf" TargetMode="External"/><Relationship Id="rId72" Type="http://schemas.openxmlformats.org/officeDocument/2006/relationships/hyperlink" Target="https://www.mandg.com/~/media/Files/M/MandG-Plc/documents/investors/2024/MG-plc-SFCR-2023.pdf" TargetMode="External"/><Relationship Id="rId3" Type="http://schemas.openxmlformats.org/officeDocument/2006/relationships/hyperlink" Target="https://www.rothesay.com/media/50cn0t2s/rothesay-life-sfc-report.pdf" TargetMode="External"/><Relationship Id="rId12" Type="http://schemas.openxmlformats.org/officeDocument/2006/relationships/hyperlink" Target="https://www.pensioncorporation.com/content/dam/pic/corporate/documents/investors/-pic-and-picg-financial-results-and-reports/regulatory-returns/sfcr-year-end-31-december-2021.pdf.downloadasset.pdf" TargetMode="External"/><Relationship Id="rId17" Type="http://schemas.openxmlformats.org/officeDocument/2006/relationships/hyperlink" Target="https://www.prudentialplc.com/~/media/Files/P/Prudential-V13/reports/2018/pacl-sfcr-2018.pdf" TargetMode="External"/><Relationship Id="rId25" Type="http://schemas.openxmlformats.org/officeDocument/2006/relationships/hyperlink" Target="https://group.legalandgeneral.com/media/pxtn454f/sfcr-legal-general-group-plc.pdf" TargetMode="External"/><Relationship Id="rId33" Type="http://schemas.openxmlformats.org/officeDocument/2006/relationships/hyperlink" Target="https://www.justgroupplc.co.uk/~/media/Files/J/Just-Retirement-Corp/investor-docs/financial-reports-and-presentations/2020/just-group-2019-sfcr.pdf" TargetMode="External"/><Relationship Id="rId38" Type="http://schemas.openxmlformats.org/officeDocument/2006/relationships/hyperlink" Target="https://adviser.scottishwidows.co.uk/assets/literature/docs/Group-SFCR-2019.pdf" TargetMode="External"/><Relationship Id="rId46" Type="http://schemas.openxmlformats.org/officeDocument/2006/relationships/hyperlink" Target="https://www.pensioncorporation.com/content/dam/pic/corporate/documents/investors/-pic-and-picg-financial-results-and-reports/regulatory-returns/sfcr-year-end-31-december-2016-final.pdf.downloadasset.pdf" TargetMode="External"/><Relationship Id="rId59" Type="http://schemas.openxmlformats.org/officeDocument/2006/relationships/hyperlink" Target="https://static.aviva.io/content/dam/aviva-corporate/documents/investors/pdfs/regulatoryreturns/2019/31%20Dec%202019%20-%20Aviva%20plc%20Group%20SFCR.pdf" TargetMode="External"/><Relationship Id="rId67" Type="http://schemas.openxmlformats.org/officeDocument/2006/relationships/hyperlink" Target="https://p3.aprimocdn.net/canadalifeuk/cll-2019-sfcr.pdf" TargetMode="External"/><Relationship Id="rId20" Type="http://schemas.openxmlformats.org/officeDocument/2006/relationships/hyperlink" Target="https://www.royallondon.com/siteassets/site-docs/about-us/corporate-goverance/regulatory-returns-and-publications/single-group-solvency-and-financial-condition-report-2021.pdf" TargetMode="External"/><Relationship Id="rId41" Type="http://schemas.openxmlformats.org/officeDocument/2006/relationships/hyperlink" Target="https://adviser.scottishwidows.co.uk/assets/literature/docs/group_sfcr_2022.pdf" TargetMode="External"/><Relationship Id="rId54" Type="http://schemas.openxmlformats.org/officeDocument/2006/relationships/hyperlink" Target="https://www.thephoenixgroup.com/media/gvcgoghe/plhl-group-solvency-and-financial-condition-report.pdf" TargetMode="External"/><Relationship Id="rId62" Type="http://schemas.openxmlformats.org/officeDocument/2006/relationships/hyperlink" Target="https://static.aviva.io/content/dam/aviva-corporate/documents/investors/pdfs/regulatoryreturns/2016/Aviva_plc_Group_SFCR_31_December_2016.pdf" TargetMode="External"/><Relationship Id="rId70" Type="http://schemas.openxmlformats.org/officeDocument/2006/relationships/hyperlink" Target="https://p3.aprimocdn.net/canadalifeuk/2016-cll-sfcr.pdf" TargetMode="External"/><Relationship Id="rId75" Type="http://schemas.openxmlformats.org/officeDocument/2006/relationships/hyperlink" Target="https://www.mandg.com/~/media/Files/M/MandG-Plc/documents/investors/SFCR/MGplc-group-solvency-financial-condition-report-2019.pdf" TargetMode="External"/><Relationship Id="rId1" Type="http://schemas.openxmlformats.org/officeDocument/2006/relationships/hyperlink" Target="https://www.rothesay.com/media/4kzjcj1x/rothesay-scfr-2022.pdf" TargetMode="External"/><Relationship Id="rId6" Type="http://schemas.openxmlformats.org/officeDocument/2006/relationships/hyperlink" Target="https://www.rothesay.com/media/zl1c4sqg/33480_rothesaylife_sfcr2019_aw_final.pdf" TargetMode="External"/><Relationship Id="rId15" Type="http://schemas.openxmlformats.org/officeDocument/2006/relationships/hyperlink" Target="https://www.prudentialplc.com/~/media/Files/P/Prudential-V13/reports/2016/pacl-sfcr-2016.pdf" TargetMode="External"/><Relationship Id="rId23" Type="http://schemas.openxmlformats.org/officeDocument/2006/relationships/hyperlink" Target="https://group.legalandgeneral.com/media/sgxm53ph/group_sfcr-2021_signed.pdf" TargetMode="External"/><Relationship Id="rId28" Type="http://schemas.openxmlformats.org/officeDocument/2006/relationships/hyperlink" Target="https://group.legalandgeneral.com/media/x0xhtr0w/solvency-and-financial-condition-group-2016.pdf" TargetMode="External"/><Relationship Id="rId36" Type="http://schemas.openxmlformats.org/officeDocument/2006/relationships/hyperlink" Target="https://www.justgroupplc.co.uk/~/media/Files/J/Just-Retirement-Corp/investor-docs/financial-reports-and-presentations/Regulatory%20returns/Just%20Group%20plc%20Solvency%20and%20Financial%20Condition%20Report%20as%20at%2031%20December%202016.pdf" TargetMode="External"/><Relationship Id="rId49" Type="http://schemas.openxmlformats.org/officeDocument/2006/relationships/hyperlink" Target="https://www.thephoenixgroup.com/media/lmrcwnki/phoenix-group-sfcr-31-dec-19-vfinal.pdf" TargetMode="External"/><Relationship Id="rId57" Type="http://schemas.openxmlformats.org/officeDocument/2006/relationships/hyperlink" Target="https://www.swissre.com/dam/jcr:31f2bc03-52ec-4a10-891a-a26ad34e8388/solvency_and_financial_condition_report_reassure.pdf" TargetMode="External"/><Relationship Id="rId10" Type="http://schemas.openxmlformats.org/officeDocument/2006/relationships/hyperlink" Target="https://www.pensioncorporation.com/content/dam/pic/corporate/documents/investors/-pic-and-picg-financial-results-and-reports/regulatory-returns/sfcr-year-end-31-december-2019%20(2).pdf.downloadasset.pdf" TargetMode="External"/><Relationship Id="rId31" Type="http://schemas.openxmlformats.org/officeDocument/2006/relationships/hyperlink" Target="https://www.justgroupplc.co.uk/~/media/Files/J/Just-Retirement-Corp/investor-docs/financial-reports-and-presentations/2022/Just%20Group%20SFCR%202021.pdf" TargetMode="External"/><Relationship Id="rId44" Type="http://schemas.openxmlformats.org/officeDocument/2006/relationships/hyperlink" Target="https://www.thephoenixgroup.com/media/jruhvzki/phoenix-group-solvency-and-financial-condition-report-31-december-2022.pdf" TargetMode="External"/><Relationship Id="rId52" Type="http://schemas.openxmlformats.org/officeDocument/2006/relationships/hyperlink" Target="https://www.thephoenixgroup.com/media/lzmncmec/slal-sfcr-2018-signed-with-bookmarks.pdf" TargetMode="External"/><Relationship Id="rId60" Type="http://schemas.openxmlformats.org/officeDocument/2006/relationships/hyperlink" Target="https://static.aviva.io/content/dam/aviva-corporate/documents/investors/pdfs/regulatoryreturns/2018/aviva-plc-group-sfcr.pdf" TargetMode="External"/><Relationship Id="rId65" Type="http://schemas.openxmlformats.org/officeDocument/2006/relationships/hyperlink" Target="https://p3.aprimocdn.net/canadalifeuk/2021-cll-sfcr.pdf?" TargetMode="External"/><Relationship Id="rId73" Type="http://schemas.openxmlformats.org/officeDocument/2006/relationships/hyperlink" Target="https://www.mandg.com/~/media/Files/M/MandG-Plc/documents/investors/SFCR/mg-plc-fy21-single-group-sfcr.pdf" TargetMode="External"/><Relationship Id="rId4" Type="http://schemas.openxmlformats.org/officeDocument/2006/relationships/hyperlink" Target="https://www.rothesay.com/media/kfxffwjf/rothesay-life-sfcr-2017.pdf" TargetMode="External"/><Relationship Id="rId9" Type="http://schemas.openxmlformats.org/officeDocument/2006/relationships/hyperlink" Target="https://www.pensioncorporation.com/content/dam/pic/corporate/documents/investors/-pic-and-picg-financial-results-and-reports/regulatory-returns/sfcr-year-end-31-december-2019%20(2).pdf.downloadasset.pdf" TargetMode="External"/><Relationship Id="rId13" Type="http://schemas.openxmlformats.org/officeDocument/2006/relationships/hyperlink" Target="https://www.pensioncorporation.com/content/dam/pic/corporate/documents/investors/-pic-and-picg-financial-results-and-reports/regulatory-returns/PIC-SFCR-2022.pdf.downloadasset.pdf" TargetMode="External"/><Relationship Id="rId18" Type="http://schemas.openxmlformats.org/officeDocument/2006/relationships/hyperlink" Target="https://www.royallondon.com/siteassets/site-docs/about-us/corporate-goverance/regulatory-returns-and-publications/single-group-solvency-and-financial-condition-report-2023.pdf" TargetMode="External"/><Relationship Id="rId39" Type="http://schemas.openxmlformats.org/officeDocument/2006/relationships/hyperlink" Target="https://adviser.scottishwidows.co.uk/assets/literature/docs/Group-SFCR-2020.pdf" TargetMode="External"/><Relationship Id="rId34" Type="http://schemas.openxmlformats.org/officeDocument/2006/relationships/hyperlink" Target="https://www.justgroupplc.co.uk/~/media/Files/J/Just-Retirement-Corp/investor-docs/financial-reports-and-presentations/2019/Just%20Group%20SFCR%202018.pdf" TargetMode="External"/><Relationship Id="rId50" Type="http://schemas.openxmlformats.org/officeDocument/2006/relationships/hyperlink" Target="https://www.thephoenixgroup.com/media/xhmnmodf/2019-reassure-sfcr.pdf" TargetMode="External"/><Relationship Id="rId55" Type="http://schemas.openxmlformats.org/officeDocument/2006/relationships/hyperlink" Target="https://www.swissre.com/dam/jcr:91774f33-d98f-44cb-93c7-2d7118262595/sfcr-reassure-group-2018.pdf" TargetMode="External"/><Relationship Id="rId7" Type="http://schemas.openxmlformats.org/officeDocument/2006/relationships/hyperlink" Target="https://www.rothesay.com/media/4rydeafx/rothesay_sfcr_2020.pdf" TargetMode="External"/><Relationship Id="rId71" Type="http://schemas.openxmlformats.org/officeDocument/2006/relationships/hyperlink" Target="https://www.mandg.com/~/media/Files/M/MandG-Plc/documents/investors/SFCR/single-group-solvency-and-financial-condition-report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DCBE7-9BC1-431F-8E3D-45F8203BD6DF}">
  <sheetPr codeName="Sheet1"/>
  <dimension ref="B1:G90"/>
  <sheetViews>
    <sheetView showGridLines="0" workbookViewId="0">
      <pane xSplit="4" ySplit="6" topLeftCell="E64" activePane="bottomRight" state="frozen"/>
      <selection pane="topRight" activeCell="E1" sqref="E1"/>
      <selection pane="bottomLeft" activeCell="A7" sqref="A7"/>
      <selection pane="bottomRight" activeCell="E87" sqref="D83:E87"/>
    </sheetView>
  </sheetViews>
  <sheetFormatPr defaultRowHeight="14.4" x14ac:dyDescent="0.3"/>
  <cols>
    <col min="1" max="1" width="4" customWidth="1"/>
    <col min="2" max="2" width="26.109375" bestFit="1" customWidth="1"/>
    <col min="3" max="3" width="7.109375" customWidth="1"/>
    <col min="4" max="4" width="38.33203125" customWidth="1"/>
    <col min="5" max="5" width="22.33203125" customWidth="1"/>
    <col min="6" max="6" width="28.6640625" customWidth="1"/>
    <col min="7" max="7" width="12.6640625" bestFit="1" customWidth="1"/>
  </cols>
  <sheetData>
    <row r="1" spans="2:6" ht="8.25" customHeight="1" x14ac:dyDescent="0.3"/>
    <row r="2" spans="2:6" x14ac:dyDescent="0.3">
      <c r="E2" s="9"/>
    </row>
    <row r="3" spans="2:6" x14ac:dyDescent="0.3">
      <c r="E3" s="9" t="s">
        <v>0</v>
      </c>
    </row>
    <row r="4" spans="2:6" x14ac:dyDescent="0.3">
      <c r="E4" s="12"/>
    </row>
    <row r="5" spans="2:6" x14ac:dyDescent="0.3">
      <c r="B5" s="2" t="s">
        <v>1</v>
      </c>
      <c r="E5" s="14" t="s">
        <v>2</v>
      </c>
    </row>
    <row r="6" spans="2:6" s="11" customFormat="1" ht="51" customHeight="1" x14ac:dyDescent="0.3">
      <c r="B6" s="10" t="s">
        <v>3</v>
      </c>
      <c r="C6" s="10" t="s">
        <v>4</v>
      </c>
      <c r="D6" s="10" t="s">
        <v>5</v>
      </c>
      <c r="E6" s="15" t="s">
        <v>6</v>
      </c>
      <c r="F6" s="13" t="s">
        <v>7</v>
      </c>
    </row>
    <row r="7" spans="2:6" x14ac:dyDescent="0.3">
      <c r="B7" s="3" t="s">
        <v>8</v>
      </c>
      <c r="C7" s="3">
        <v>2023</v>
      </c>
      <c r="D7" s="4" t="s">
        <v>9</v>
      </c>
      <c r="E7" s="5">
        <v>7499024000</v>
      </c>
    </row>
    <row r="8" spans="2:6" x14ac:dyDescent="0.3">
      <c r="B8" s="3" t="s">
        <v>8</v>
      </c>
      <c r="C8" s="3">
        <v>2022</v>
      </c>
      <c r="D8" s="4" t="s">
        <v>10</v>
      </c>
      <c r="E8" s="5">
        <v>5543338000</v>
      </c>
    </row>
    <row r="9" spans="2:6" x14ac:dyDescent="0.3">
      <c r="B9" s="3" t="s">
        <v>8</v>
      </c>
      <c r="C9" s="3">
        <v>2021</v>
      </c>
      <c r="D9" s="1" t="s">
        <v>11</v>
      </c>
      <c r="E9" s="5">
        <v>6654753000</v>
      </c>
    </row>
    <row r="10" spans="2:6" x14ac:dyDescent="0.3">
      <c r="B10" s="3" t="s">
        <v>8</v>
      </c>
      <c r="C10" s="3">
        <v>2020</v>
      </c>
      <c r="D10" s="4" t="s">
        <v>12</v>
      </c>
      <c r="E10" s="5">
        <v>6561793000</v>
      </c>
    </row>
    <row r="11" spans="2:6" x14ac:dyDescent="0.3">
      <c r="B11" s="3" t="s">
        <v>8</v>
      </c>
      <c r="C11" s="3">
        <v>2019</v>
      </c>
      <c r="D11" s="4" t="s">
        <v>13</v>
      </c>
      <c r="E11" s="5">
        <v>5504717000</v>
      </c>
    </row>
    <row r="12" spans="2:6" x14ac:dyDescent="0.3">
      <c r="B12" s="3" t="s">
        <v>8</v>
      </c>
      <c r="C12" s="3">
        <v>2018</v>
      </c>
      <c r="D12" s="1" t="s">
        <v>14</v>
      </c>
      <c r="E12" s="5">
        <v>4088073000</v>
      </c>
      <c r="F12" t="s">
        <v>15</v>
      </c>
    </row>
    <row r="13" spans="2:6" x14ac:dyDescent="0.3">
      <c r="B13" s="3" t="s">
        <v>8</v>
      </c>
      <c r="C13" s="3">
        <v>2017</v>
      </c>
      <c r="D13" s="1" t="s">
        <v>16</v>
      </c>
      <c r="E13" s="5">
        <v>743104000</v>
      </c>
      <c r="F13" t="s">
        <v>17</v>
      </c>
    </row>
    <row r="14" spans="2:6" x14ac:dyDescent="0.3">
      <c r="B14" s="3" t="s">
        <v>8</v>
      </c>
      <c r="C14" s="3">
        <v>2016</v>
      </c>
      <c r="D14" s="1" t="s">
        <v>18</v>
      </c>
      <c r="E14" s="5">
        <v>866613000</v>
      </c>
    </row>
    <row r="15" spans="2:6" x14ac:dyDescent="0.3">
      <c r="B15" s="3" t="s">
        <v>19</v>
      </c>
      <c r="C15" s="3">
        <v>2023</v>
      </c>
      <c r="D15" s="4" t="s">
        <v>20</v>
      </c>
      <c r="E15" s="5">
        <v>5346243154</v>
      </c>
    </row>
    <row r="16" spans="2:6" x14ac:dyDescent="0.3">
      <c r="B16" s="3" t="s">
        <v>19</v>
      </c>
      <c r="C16" s="3">
        <v>2022</v>
      </c>
      <c r="D16" s="4" t="s">
        <v>21</v>
      </c>
      <c r="E16" s="5">
        <v>4171766780</v>
      </c>
    </row>
    <row r="17" spans="2:5" x14ac:dyDescent="0.3">
      <c r="B17" s="3" t="s">
        <v>19</v>
      </c>
      <c r="C17" s="3">
        <v>2021</v>
      </c>
      <c r="D17" s="4" t="s">
        <v>22</v>
      </c>
      <c r="E17" s="5">
        <v>6116598221</v>
      </c>
    </row>
    <row r="18" spans="2:5" x14ac:dyDescent="0.3">
      <c r="B18" s="3" t="s">
        <v>19</v>
      </c>
      <c r="C18" s="3">
        <v>2020</v>
      </c>
      <c r="D18" s="4" t="s">
        <v>23</v>
      </c>
      <c r="E18" s="5">
        <v>5894320307</v>
      </c>
    </row>
    <row r="19" spans="2:5" x14ac:dyDescent="0.3">
      <c r="B19" s="3" t="s">
        <v>19</v>
      </c>
      <c r="C19" s="3">
        <v>2019</v>
      </c>
      <c r="D19" s="4" t="s">
        <v>24</v>
      </c>
      <c r="E19" s="5">
        <v>4935482830</v>
      </c>
    </row>
    <row r="20" spans="2:5" x14ac:dyDescent="0.3">
      <c r="B20" s="3" t="s">
        <v>19</v>
      </c>
      <c r="C20" s="3">
        <v>2018</v>
      </c>
      <c r="D20" s="4" t="s">
        <v>67</v>
      </c>
      <c r="E20" s="18">
        <v>3749342365</v>
      </c>
    </row>
    <row r="21" spans="2:5" x14ac:dyDescent="0.3">
      <c r="B21" s="3" t="s">
        <v>19</v>
      </c>
      <c r="C21" s="3">
        <v>2017</v>
      </c>
      <c r="D21" s="7" t="s">
        <v>66</v>
      </c>
      <c r="E21" s="18">
        <v>3041138111</v>
      </c>
    </row>
    <row r="22" spans="2:5" x14ac:dyDescent="0.3">
      <c r="B22" s="3" t="s">
        <v>19</v>
      </c>
      <c r="C22" s="3">
        <v>2016</v>
      </c>
      <c r="D22" s="1" t="s">
        <v>68</v>
      </c>
      <c r="E22" s="18">
        <v>2752724235</v>
      </c>
    </row>
    <row r="23" spans="2:5" x14ac:dyDescent="0.3">
      <c r="B23" s="3" t="s">
        <v>26</v>
      </c>
      <c r="C23" s="3">
        <v>2023</v>
      </c>
      <c r="D23" s="4" t="s">
        <v>27</v>
      </c>
      <c r="E23" s="5">
        <v>12772918000</v>
      </c>
    </row>
    <row r="24" spans="2:5" x14ac:dyDescent="0.3">
      <c r="B24" s="3" t="s">
        <v>26</v>
      </c>
      <c r="C24" s="6">
        <v>2022</v>
      </c>
      <c r="D24" s="4" t="s">
        <v>28</v>
      </c>
      <c r="E24" s="18">
        <v>8097088000</v>
      </c>
    </row>
    <row r="25" spans="2:5" x14ac:dyDescent="0.3">
      <c r="B25" s="3" t="s">
        <v>26</v>
      </c>
      <c r="C25" s="6">
        <v>2021</v>
      </c>
      <c r="D25" s="4" t="s">
        <v>29</v>
      </c>
      <c r="E25" s="18">
        <v>16625489000</v>
      </c>
    </row>
    <row r="26" spans="2:5" x14ac:dyDescent="0.3">
      <c r="B26" s="3" t="s">
        <v>26</v>
      </c>
      <c r="C26" s="6">
        <v>2020</v>
      </c>
      <c r="D26" s="4" t="s">
        <v>30</v>
      </c>
      <c r="E26" s="18">
        <v>15070099000</v>
      </c>
    </row>
    <row r="27" spans="2:5" x14ac:dyDescent="0.3">
      <c r="B27" s="3" t="s">
        <v>26</v>
      </c>
      <c r="C27" s="6">
        <v>2019</v>
      </c>
      <c r="D27" s="4" t="s">
        <v>31</v>
      </c>
      <c r="E27" s="5">
        <v>13258765000</v>
      </c>
    </row>
    <row r="28" spans="2:5" x14ac:dyDescent="0.3">
      <c r="B28" s="3" t="s">
        <v>26</v>
      </c>
      <c r="C28" s="6">
        <v>2018</v>
      </c>
      <c r="D28" s="4" t="s">
        <v>32</v>
      </c>
      <c r="E28" s="18">
        <v>10563106000</v>
      </c>
    </row>
    <row r="29" spans="2:5" x14ac:dyDescent="0.3">
      <c r="B29" s="3" t="s">
        <v>26</v>
      </c>
      <c r="C29" s="6">
        <v>2017</v>
      </c>
      <c r="D29" s="4" t="s">
        <v>33</v>
      </c>
      <c r="E29" s="18">
        <v>10503166000</v>
      </c>
    </row>
    <row r="30" spans="2:5" x14ac:dyDescent="0.3">
      <c r="B30" s="3" t="s">
        <v>26</v>
      </c>
      <c r="C30" s="6">
        <v>2016</v>
      </c>
      <c r="D30" s="4" t="s">
        <v>34</v>
      </c>
      <c r="E30" s="5">
        <v>9560108000</v>
      </c>
    </row>
    <row r="31" spans="2:5" x14ac:dyDescent="0.3">
      <c r="B31" s="3" t="s">
        <v>35</v>
      </c>
      <c r="C31" s="3">
        <v>2023</v>
      </c>
      <c r="D31" s="7" t="s">
        <v>36</v>
      </c>
      <c r="E31" s="18">
        <v>5438885000</v>
      </c>
    </row>
    <row r="32" spans="2:5" x14ac:dyDescent="0.3">
      <c r="B32" s="3" t="s">
        <v>35</v>
      </c>
      <c r="C32" s="3">
        <v>2022</v>
      </c>
      <c r="D32" s="1" t="s">
        <v>84</v>
      </c>
      <c r="E32" s="18">
        <v>4630186000</v>
      </c>
    </row>
    <row r="33" spans="2:7" x14ac:dyDescent="0.3">
      <c r="B33" s="3" t="s">
        <v>35</v>
      </c>
      <c r="C33" s="3">
        <v>2021</v>
      </c>
      <c r="D33" s="4" t="s">
        <v>85</v>
      </c>
      <c r="E33" s="5">
        <v>6207500000</v>
      </c>
    </row>
    <row r="34" spans="2:7" x14ac:dyDescent="0.3">
      <c r="B34" s="3" t="s">
        <v>35</v>
      </c>
      <c r="C34" s="3">
        <v>2020</v>
      </c>
      <c r="D34" s="4" t="s">
        <v>86</v>
      </c>
      <c r="E34" s="5">
        <v>7001036000</v>
      </c>
    </row>
    <row r="35" spans="2:7" x14ac:dyDescent="0.3">
      <c r="B35" s="3" t="s">
        <v>35</v>
      </c>
      <c r="C35" s="3">
        <v>2019</v>
      </c>
      <c r="D35" s="4" t="s">
        <v>87</v>
      </c>
      <c r="E35" s="5">
        <v>6693961000</v>
      </c>
    </row>
    <row r="36" spans="2:7" x14ac:dyDescent="0.3">
      <c r="B36" s="3" t="s">
        <v>35</v>
      </c>
      <c r="C36" s="3">
        <v>2018</v>
      </c>
      <c r="D36" s="4" t="s">
        <v>88</v>
      </c>
      <c r="E36" s="18">
        <v>5356850000</v>
      </c>
    </row>
    <row r="37" spans="2:7" x14ac:dyDescent="0.3">
      <c r="B37" s="3" t="s">
        <v>35</v>
      </c>
      <c r="C37" s="3">
        <v>2017</v>
      </c>
      <c r="D37" s="4" t="s">
        <v>89</v>
      </c>
      <c r="E37" s="18">
        <v>5894416000</v>
      </c>
    </row>
    <row r="38" spans="2:7" x14ac:dyDescent="0.3">
      <c r="B38" s="3" t="s">
        <v>35</v>
      </c>
      <c r="C38" s="3">
        <v>2016</v>
      </c>
      <c r="D38" s="4" t="s">
        <v>90</v>
      </c>
      <c r="E38" s="18">
        <v>6535908000</v>
      </c>
    </row>
    <row r="39" spans="2:7" x14ac:dyDescent="0.3">
      <c r="B39" s="3" t="s">
        <v>37</v>
      </c>
      <c r="C39" s="3">
        <v>2023</v>
      </c>
      <c r="D39" s="4" t="s">
        <v>38</v>
      </c>
      <c r="E39" s="18">
        <v>3336221000</v>
      </c>
      <c r="F39" s="16"/>
      <c r="G39" s="16"/>
    </row>
    <row r="40" spans="2:7" x14ac:dyDescent="0.3">
      <c r="B40" s="3" t="s">
        <v>37</v>
      </c>
      <c r="C40" s="3">
        <v>2022</v>
      </c>
      <c r="D40" s="4" t="s">
        <v>39</v>
      </c>
      <c r="E40" s="18">
        <v>2425682000</v>
      </c>
      <c r="G40" s="16"/>
    </row>
    <row r="41" spans="2:7" x14ac:dyDescent="0.3">
      <c r="B41" s="3" t="s">
        <v>37</v>
      </c>
      <c r="C41" s="3">
        <v>2021</v>
      </c>
      <c r="D41" s="4" t="s">
        <v>40</v>
      </c>
      <c r="E41" s="5">
        <v>2114450000</v>
      </c>
    </row>
    <row r="42" spans="2:7" x14ac:dyDescent="0.3">
      <c r="B42" s="3" t="s">
        <v>37</v>
      </c>
      <c r="C42" s="3">
        <v>2020</v>
      </c>
      <c r="D42" s="4" t="s">
        <v>41</v>
      </c>
      <c r="E42" s="5">
        <v>1452664000</v>
      </c>
    </row>
    <row r="43" spans="2:7" x14ac:dyDescent="0.3">
      <c r="B43" s="3" t="s">
        <v>37</v>
      </c>
      <c r="C43" s="3">
        <v>2019</v>
      </c>
      <c r="D43" s="4" t="s">
        <v>42</v>
      </c>
      <c r="E43" s="5">
        <v>1184093000</v>
      </c>
    </row>
    <row r="44" spans="2:7" x14ac:dyDescent="0.3">
      <c r="B44" s="3" t="s">
        <v>37</v>
      </c>
      <c r="C44" s="3">
        <v>2018</v>
      </c>
      <c r="D44" s="4" t="s">
        <v>43</v>
      </c>
      <c r="E44" s="5">
        <v>1044423000</v>
      </c>
    </row>
    <row r="45" spans="2:7" x14ac:dyDescent="0.3">
      <c r="B45" s="3" t="s">
        <v>37</v>
      </c>
      <c r="C45" s="3">
        <v>2017</v>
      </c>
      <c r="D45" s="4" t="s">
        <v>44</v>
      </c>
      <c r="E45" s="5">
        <v>1042159000</v>
      </c>
    </row>
    <row r="46" spans="2:7" x14ac:dyDescent="0.3">
      <c r="B46" s="3" t="s">
        <v>37</v>
      </c>
      <c r="C46" s="3">
        <v>2016</v>
      </c>
      <c r="D46" s="4" t="s">
        <v>45</v>
      </c>
      <c r="E46" s="5">
        <v>901127000</v>
      </c>
    </row>
    <row r="47" spans="2:7" x14ac:dyDescent="0.3">
      <c r="B47" s="3" t="s">
        <v>46</v>
      </c>
      <c r="C47" s="3">
        <v>2023</v>
      </c>
      <c r="D47" s="4" t="s">
        <v>47</v>
      </c>
      <c r="E47" s="18">
        <v>3685145000</v>
      </c>
    </row>
    <row r="48" spans="2:7" x14ac:dyDescent="0.3">
      <c r="B48" s="3" t="s">
        <v>46</v>
      </c>
      <c r="C48" s="3">
        <v>2022</v>
      </c>
      <c r="D48" s="4" t="s">
        <v>48</v>
      </c>
      <c r="E48" s="5">
        <v>2785937000</v>
      </c>
    </row>
    <row r="49" spans="2:6" x14ac:dyDescent="0.3">
      <c r="B49" s="3" t="s">
        <v>46</v>
      </c>
      <c r="C49" s="3">
        <v>2021</v>
      </c>
      <c r="D49" s="4" t="s">
        <v>49</v>
      </c>
      <c r="E49" s="18">
        <v>3905659000</v>
      </c>
    </row>
    <row r="50" spans="2:6" x14ac:dyDescent="0.3">
      <c r="B50" s="3" t="s">
        <v>46</v>
      </c>
      <c r="C50" s="3">
        <v>2020</v>
      </c>
      <c r="D50" s="4" t="s">
        <v>50</v>
      </c>
      <c r="E50" s="5">
        <v>4679665000</v>
      </c>
    </row>
    <row r="51" spans="2:6" x14ac:dyDescent="0.3">
      <c r="B51" s="3" t="s">
        <v>46</v>
      </c>
      <c r="C51" s="3">
        <v>2019</v>
      </c>
      <c r="D51" s="4" t="s">
        <v>51</v>
      </c>
      <c r="E51" s="5">
        <v>3560436000</v>
      </c>
    </row>
    <row r="52" spans="2:6" x14ac:dyDescent="0.3">
      <c r="B52" s="3" t="s">
        <v>46</v>
      </c>
      <c r="C52" s="3">
        <v>2018</v>
      </c>
      <c r="D52" s="4" t="s">
        <v>52</v>
      </c>
      <c r="E52" s="5">
        <v>3183104000</v>
      </c>
    </row>
    <row r="53" spans="2:6" x14ac:dyDescent="0.3">
      <c r="B53" s="3" t="s">
        <v>46</v>
      </c>
      <c r="C53" s="3">
        <v>2017</v>
      </c>
      <c r="D53" s="8" t="s">
        <v>25</v>
      </c>
      <c r="E53" s="17"/>
    </row>
    <row r="54" spans="2:6" x14ac:dyDescent="0.3">
      <c r="B54" s="3" t="s">
        <v>46</v>
      </c>
      <c r="C54" s="3">
        <v>2016</v>
      </c>
      <c r="D54" s="8" t="s">
        <v>25</v>
      </c>
      <c r="E54" s="17"/>
    </row>
    <row r="55" spans="2:6" x14ac:dyDescent="0.3">
      <c r="B55" s="3" t="s">
        <v>91</v>
      </c>
      <c r="C55" s="3">
        <v>2023</v>
      </c>
      <c r="D55" s="19" t="s">
        <v>93</v>
      </c>
      <c r="E55" s="5">
        <v>933068000</v>
      </c>
    </row>
    <row r="56" spans="2:6" x14ac:dyDescent="0.3">
      <c r="B56" s="3" t="s">
        <v>91</v>
      </c>
      <c r="C56" s="3">
        <v>2022</v>
      </c>
      <c r="D56" s="1" t="s">
        <v>92</v>
      </c>
      <c r="E56" s="18">
        <v>872425000</v>
      </c>
    </row>
    <row r="57" spans="2:6" x14ac:dyDescent="0.3">
      <c r="B57" s="3" t="s">
        <v>91</v>
      </c>
      <c r="C57" s="3">
        <v>2021</v>
      </c>
      <c r="D57" s="19" t="s">
        <v>94</v>
      </c>
      <c r="E57" s="5">
        <v>1161820000</v>
      </c>
    </row>
    <row r="58" spans="2:6" x14ac:dyDescent="0.3">
      <c r="B58" s="3" t="s">
        <v>91</v>
      </c>
      <c r="C58" s="3">
        <v>2020</v>
      </c>
      <c r="D58" s="1" t="s">
        <v>95</v>
      </c>
      <c r="E58" s="5">
        <v>1145924000</v>
      </c>
    </row>
    <row r="59" spans="2:6" x14ac:dyDescent="0.3">
      <c r="B59" s="3" t="s">
        <v>91</v>
      </c>
      <c r="C59" s="3">
        <v>2019</v>
      </c>
      <c r="D59" s="19" t="s">
        <v>96</v>
      </c>
      <c r="E59" s="5">
        <v>805379000</v>
      </c>
    </row>
    <row r="60" spans="2:6" x14ac:dyDescent="0.3">
      <c r="B60" s="3" t="s">
        <v>91</v>
      </c>
      <c r="C60" s="3">
        <v>2018</v>
      </c>
      <c r="D60" s="19" t="s">
        <v>97</v>
      </c>
      <c r="E60" s="5">
        <v>216971000</v>
      </c>
      <c r="F60" t="s">
        <v>100</v>
      </c>
    </row>
    <row r="61" spans="2:6" x14ac:dyDescent="0.3">
      <c r="B61" s="3" t="s">
        <v>91</v>
      </c>
      <c r="C61" s="3">
        <v>2017</v>
      </c>
      <c r="D61" s="19" t="s">
        <v>98</v>
      </c>
      <c r="E61" s="5">
        <v>263202000</v>
      </c>
    </row>
    <row r="62" spans="2:6" x14ac:dyDescent="0.3">
      <c r="B62" s="3" t="s">
        <v>91</v>
      </c>
      <c r="C62" s="3">
        <v>2016</v>
      </c>
      <c r="D62" s="19" t="s">
        <v>99</v>
      </c>
      <c r="E62" s="5">
        <v>273434000</v>
      </c>
    </row>
    <row r="63" spans="2:6" x14ac:dyDescent="0.3">
      <c r="B63" s="3" t="s">
        <v>101</v>
      </c>
      <c r="C63" s="3">
        <v>2019</v>
      </c>
      <c r="D63" s="19"/>
      <c r="E63" s="5"/>
    </row>
    <row r="64" spans="2:6" x14ac:dyDescent="0.3">
      <c r="B64" s="3" t="s">
        <v>101</v>
      </c>
      <c r="C64" s="3">
        <v>2018</v>
      </c>
      <c r="D64" s="19"/>
      <c r="E64" s="5"/>
    </row>
    <row r="65" spans="2:6" x14ac:dyDescent="0.3">
      <c r="B65" s="3" t="s">
        <v>101</v>
      </c>
      <c r="C65" s="3">
        <v>2017</v>
      </c>
      <c r="D65" s="19"/>
      <c r="E65" s="5"/>
    </row>
    <row r="66" spans="2:6" x14ac:dyDescent="0.3">
      <c r="B66" s="3" t="s">
        <v>101</v>
      </c>
      <c r="C66" s="3">
        <v>2016</v>
      </c>
      <c r="D66" s="19"/>
      <c r="E66" s="5"/>
    </row>
    <row r="67" spans="2:6" x14ac:dyDescent="0.3">
      <c r="B67" s="3" t="s">
        <v>78</v>
      </c>
      <c r="C67" s="3">
        <v>2023</v>
      </c>
      <c r="D67" s="4" t="s">
        <v>53</v>
      </c>
      <c r="E67" s="5">
        <v>3835059000</v>
      </c>
    </row>
    <row r="68" spans="2:6" x14ac:dyDescent="0.3">
      <c r="B68" s="3" t="s">
        <v>78</v>
      </c>
      <c r="C68" s="3">
        <v>2022</v>
      </c>
      <c r="D68" s="1" t="s">
        <v>54</v>
      </c>
      <c r="E68" s="5">
        <v>2613551000</v>
      </c>
    </row>
    <row r="69" spans="2:6" x14ac:dyDescent="0.3">
      <c r="B69" s="3" t="s">
        <v>78</v>
      </c>
      <c r="C69" s="3">
        <v>2021</v>
      </c>
      <c r="D69" s="19" t="s">
        <v>69</v>
      </c>
      <c r="E69" s="5">
        <v>757875000</v>
      </c>
    </row>
    <row r="70" spans="2:6" x14ac:dyDescent="0.3">
      <c r="B70" s="3" t="s">
        <v>78</v>
      </c>
      <c r="C70" s="3">
        <v>2020</v>
      </c>
      <c r="D70" s="1" t="s">
        <v>70</v>
      </c>
      <c r="E70" s="5">
        <v>3271573000</v>
      </c>
      <c r="F70" t="s">
        <v>83</v>
      </c>
    </row>
    <row r="71" spans="2:6" x14ac:dyDescent="0.3">
      <c r="B71" s="3" t="s">
        <v>78</v>
      </c>
      <c r="C71" s="3">
        <v>2019</v>
      </c>
      <c r="D71" s="1" t="s">
        <v>72</v>
      </c>
      <c r="E71" s="5">
        <v>1596926000</v>
      </c>
    </row>
    <row r="72" spans="2:6" x14ac:dyDescent="0.3">
      <c r="B72" s="3" t="s">
        <v>78</v>
      </c>
      <c r="C72" s="3">
        <v>2018</v>
      </c>
      <c r="D72" s="19" t="s">
        <v>74</v>
      </c>
      <c r="E72" s="18">
        <v>1301119000</v>
      </c>
    </row>
    <row r="73" spans="2:6" x14ac:dyDescent="0.3">
      <c r="B73" s="3" t="s">
        <v>78</v>
      </c>
      <c r="C73" s="3">
        <v>2017</v>
      </c>
      <c r="D73" s="1" t="s">
        <v>77</v>
      </c>
      <c r="E73" s="5">
        <v>921343000</v>
      </c>
    </row>
    <row r="74" spans="2:6" x14ac:dyDescent="0.3">
      <c r="B74" s="3" t="s">
        <v>78</v>
      </c>
      <c r="C74" s="3">
        <v>2016</v>
      </c>
      <c r="D74" s="1" t="s">
        <v>79</v>
      </c>
      <c r="E74" s="18">
        <v>841029000</v>
      </c>
    </row>
    <row r="75" spans="2:6" x14ac:dyDescent="0.3">
      <c r="B75" s="8" t="s">
        <v>75</v>
      </c>
      <c r="C75" s="8">
        <v>2018</v>
      </c>
      <c r="D75" s="21" t="s">
        <v>76</v>
      </c>
      <c r="E75" s="22">
        <v>445924000</v>
      </c>
    </row>
    <row r="76" spans="2:6" x14ac:dyDescent="0.3">
      <c r="B76" s="3" t="s">
        <v>71</v>
      </c>
      <c r="C76" s="3">
        <v>2019</v>
      </c>
      <c r="D76" s="1" t="s">
        <v>73</v>
      </c>
      <c r="E76" s="5">
        <v>1704814000</v>
      </c>
    </row>
    <row r="77" spans="2:6" x14ac:dyDescent="0.3">
      <c r="B77" s="3" t="s">
        <v>71</v>
      </c>
      <c r="C77" s="3">
        <v>2018</v>
      </c>
      <c r="D77" s="1" t="s">
        <v>80</v>
      </c>
      <c r="E77" s="18">
        <v>1644612000</v>
      </c>
    </row>
    <row r="78" spans="2:6" ht="16.5" customHeight="1" x14ac:dyDescent="0.3">
      <c r="B78" s="3" t="s">
        <v>71</v>
      </c>
      <c r="C78" s="20">
        <v>2017</v>
      </c>
      <c r="D78" s="1" t="s">
        <v>81</v>
      </c>
      <c r="E78" s="18">
        <v>617048000</v>
      </c>
    </row>
    <row r="79" spans="2:6" x14ac:dyDescent="0.3">
      <c r="B79" s="3" t="s">
        <v>71</v>
      </c>
      <c r="C79" s="3">
        <v>2016</v>
      </c>
      <c r="D79" s="1" t="s">
        <v>82</v>
      </c>
      <c r="E79" s="5">
        <v>480982000</v>
      </c>
    </row>
    <row r="80" spans="2:6" x14ac:dyDescent="0.3">
      <c r="B80" s="3" t="s">
        <v>55</v>
      </c>
      <c r="C80" s="3">
        <v>2023</v>
      </c>
      <c r="D80" s="4" t="s">
        <v>56</v>
      </c>
      <c r="E80" s="5">
        <v>187508000</v>
      </c>
    </row>
    <row r="81" spans="2:5" x14ac:dyDescent="0.3">
      <c r="B81" s="3" t="s">
        <v>55</v>
      </c>
      <c r="C81" s="3">
        <v>2022</v>
      </c>
      <c r="D81" s="4" t="s">
        <v>57</v>
      </c>
      <c r="E81" s="5">
        <v>95958000</v>
      </c>
    </row>
    <row r="82" spans="2:5" x14ac:dyDescent="0.3">
      <c r="B82" s="3" t="s">
        <v>55</v>
      </c>
      <c r="C82" s="3">
        <v>2021</v>
      </c>
      <c r="D82" s="4" t="s">
        <v>58</v>
      </c>
      <c r="E82" s="18">
        <v>66727000</v>
      </c>
    </row>
    <row r="83" spans="2:5" x14ac:dyDescent="0.3">
      <c r="B83" s="3" t="s">
        <v>63</v>
      </c>
      <c r="C83" s="3">
        <v>2023</v>
      </c>
      <c r="D83" s="4" t="s">
        <v>64</v>
      </c>
      <c r="E83" s="5">
        <v>3153267000</v>
      </c>
    </row>
    <row r="84" spans="2:5" x14ac:dyDescent="0.3">
      <c r="B84" s="3" t="s">
        <v>63</v>
      </c>
      <c r="C84" s="3">
        <v>2022</v>
      </c>
      <c r="D84" s="4" t="s">
        <v>65</v>
      </c>
      <c r="E84" s="5">
        <v>3062714000</v>
      </c>
    </row>
    <row r="85" spans="2:5" x14ac:dyDescent="0.3">
      <c r="B85" s="20" t="s">
        <v>63</v>
      </c>
      <c r="C85" s="20">
        <v>2021</v>
      </c>
      <c r="D85" s="1" t="s">
        <v>121</v>
      </c>
      <c r="E85" s="43">
        <v>3707335000</v>
      </c>
    </row>
    <row r="86" spans="2:5" x14ac:dyDescent="0.3">
      <c r="B86" s="20" t="s">
        <v>63</v>
      </c>
      <c r="C86" s="20">
        <v>2020</v>
      </c>
      <c r="D86" s="1" t="s">
        <v>122</v>
      </c>
      <c r="E86" s="43">
        <v>3335317000</v>
      </c>
    </row>
    <row r="87" spans="2:5" x14ac:dyDescent="0.3">
      <c r="B87" s="20" t="s">
        <v>63</v>
      </c>
      <c r="C87" s="20">
        <v>2019</v>
      </c>
      <c r="D87" s="1" t="s">
        <v>122</v>
      </c>
      <c r="E87" s="43">
        <v>3366889000</v>
      </c>
    </row>
    <row r="88" spans="2:5" x14ac:dyDescent="0.3">
      <c r="B88" s="3" t="s">
        <v>59</v>
      </c>
      <c r="C88" s="3">
        <v>2018</v>
      </c>
      <c r="D88" s="4" t="s">
        <v>60</v>
      </c>
      <c r="E88" s="18">
        <v>3128373000</v>
      </c>
    </row>
    <row r="89" spans="2:5" x14ac:dyDescent="0.3">
      <c r="B89" s="3" t="s">
        <v>59</v>
      </c>
      <c r="C89" s="3">
        <v>2017</v>
      </c>
      <c r="D89" s="4" t="s">
        <v>61</v>
      </c>
      <c r="E89" s="18">
        <v>5031575000</v>
      </c>
    </row>
    <row r="90" spans="2:5" x14ac:dyDescent="0.3">
      <c r="B90" s="3" t="s">
        <v>59</v>
      </c>
      <c r="C90" s="3">
        <v>2016</v>
      </c>
      <c r="D90" s="4" t="s">
        <v>62</v>
      </c>
      <c r="E90" s="18">
        <v>4462299000</v>
      </c>
    </row>
  </sheetData>
  <hyperlinks>
    <hyperlink ref="D8" r:id="rId1" display="https://www.rothesay.com/media/4kzjcj1x/rothesay-scfr-2022.pdf" xr:uid="{B89A7D75-A914-4F73-BF43-2FCDE302AECE}"/>
    <hyperlink ref="D7" r:id="rId2" display="https://www.rothesay.com/media/hyxh34br/rothesay-sfcr-2023.pdf" xr:uid="{4752A038-4B0B-4D8D-8366-C74CBCCE1DDE}"/>
    <hyperlink ref="D14" r:id="rId3" xr:uid="{59411303-686C-498A-AE90-94003B79CCDD}"/>
    <hyperlink ref="D13" r:id="rId4" xr:uid="{14113932-DDBB-4ECC-AB4F-C4CBB7D7E084}"/>
    <hyperlink ref="D12" r:id="rId5" xr:uid="{82D0664F-6C57-4818-9DBF-17B717131A5D}"/>
    <hyperlink ref="D11" r:id="rId6" xr:uid="{7E5B08DF-AE63-4294-BD48-D04B5590B050}"/>
    <hyperlink ref="D10" r:id="rId7" xr:uid="{57A4D6A4-14F1-47FA-8FE6-BDCE2A841B64}"/>
    <hyperlink ref="D9" r:id="rId8" xr:uid="{129634C6-89A2-4FC7-A5EA-6AAFA7BFBE9B}"/>
    <hyperlink ref="D19" r:id="rId9" xr:uid="{B5FEECCB-02BF-42D0-8EE7-1359248CAF23}"/>
    <hyperlink ref="D20" r:id="rId10" display="PIC SFCR 2019" xr:uid="{6FA6DD17-D7CD-4A20-9E9F-34F5A350DF00}"/>
    <hyperlink ref="D18" r:id="rId11" xr:uid="{E7F31A67-0082-4458-A20E-81DFD89628BC}"/>
    <hyperlink ref="D17" r:id="rId12" xr:uid="{49508165-6BB2-43F0-BAD6-883F9F60DDA3}"/>
    <hyperlink ref="D16" r:id="rId13" xr:uid="{F10A7AE1-57E7-44A1-B0C7-88E5E5321FBF}"/>
    <hyperlink ref="D15" r:id="rId14" xr:uid="{24CF9030-FF0E-4F4E-8D9B-E61C029CF56C}"/>
    <hyperlink ref="D90" r:id="rId15" display="https://www.prudentialplc.com/~/media/Files/P/Prudential-V13/reports/2016/pacl-sfcr-2016.pdf" xr:uid="{1544F55A-5A7B-4FD1-91D9-2B29AFB228E2}"/>
    <hyperlink ref="D89" r:id="rId16" display="https://www.prudentialplc.com/~/media/Files/P/Prudential-V13/reports/2017/pacl-sfcr-2017.pdf" xr:uid="{AD511B3B-544A-4C3B-9F8A-1E1DBCF19CDB}"/>
    <hyperlink ref="D88" r:id="rId17" display="https://www.prudentialplc.com/~/media/Files/P/Prudential-V13/reports/2018/pacl-sfcr-2018.pdf" xr:uid="{CAB3B8F4-4B3B-44CC-9AA6-6B4C7E609C36}"/>
    <hyperlink ref="D84" r:id="rId18" display="https://www.mandg.com/~/media/Files/M/MandG-Plc/documents/investors/SFCR/single-group-solvency-and-financial-condition-report.pdf" xr:uid="{97733C3B-2A1A-4C0B-959D-9D5A3F7462FC}"/>
    <hyperlink ref="D83" r:id="rId19" display="https://www.mandg.com/~/media/Files/M/MandG-Plc/documents/investors/2024/MG-plc-SFCR-2023.pdf" xr:uid="{B5B0D8EB-59B4-4AAD-8A93-8FBB5E92742C}"/>
    <hyperlink ref="D80" r:id="rId20" display="https://www.royallondon.com/siteassets/site-docs/about-us/corporate-goverance/regulatory-returns-and-publications/single-group-solvency-and-financial-condition-report-2023.pdf" xr:uid="{03BF4E86-715D-4D9B-8886-C8AED9EDD637}"/>
    <hyperlink ref="D81" r:id="rId21" display="https://www.royallondon.com/siteassets/site-docs/about-us/corporate-goverance/regulatory-returns-and-publications/single-group-solvency-and-financial-condition-report-2022.pdf" xr:uid="{D4323CB6-5D0E-456B-B260-35254D804672}"/>
    <hyperlink ref="D82" r:id="rId22" display="https://www.royallondon.com/siteassets/site-docs/about-us/corporate-goverance/regulatory-returns-and-publications/single-group-solvency-and-financial-condition-report-2021.pdf" xr:uid="{E66384A3-EEF8-4B4C-BACB-3C12D0EE2993}"/>
    <hyperlink ref="D31" r:id="rId23" display="C:\Users\ChristianPreece\Downloads\Aviva-plc-Single-Group-wide-SFCR-2023 (1).pdf" xr:uid="{16E1A8A3-D10E-4315-AF2A-0A7557A59616}"/>
    <hyperlink ref="D23" r:id="rId24" xr:uid="{F40122A2-C06D-4D3E-A890-7E260C06C4C2}"/>
    <hyperlink ref="D24" r:id="rId25" display="https://group.legalandgeneral.com/media/0tieanra/group-sfcr-2022-final-signed.pdf" xr:uid="{D4763E47-1A67-453A-BD5E-E45D3BFF9C57}"/>
    <hyperlink ref="D25" r:id="rId26" display="https://group.legalandgeneral.com/media/sgxm53ph/group_sfcr-2021_signed.pdf" xr:uid="{39A5D53C-DEEC-4B1C-B17A-749056272356}"/>
    <hyperlink ref="D26" r:id="rId27" display="https://group.legalandgeneral.com/media/bfrlwnj4/lg-group-plc-sfcr.pdf" xr:uid="{58B1F39D-4AA0-4C14-8F06-37782640BA5C}"/>
    <hyperlink ref="D27" r:id="rId28" display="https://group.legalandgeneral.com/media/pxtn454f/sfcr-legal-general-group-plc.pdf" xr:uid="{4541CA08-F203-40E5-8808-3D1A25E73204}"/>
    <hyperlink ref="D28" r:id="rId29" display="https://group.legalandgeneral.com/media/avkabega/sii-sfcr-2018_group-_published.pdf" xr:uid="{C0584BE9-22B2-4C9D-A12C-01B77102B30D}"/>
    <hyperlink ref="D29" r:id="rId30" display="https://group.legalandgeneral.com/media/yuqcjkv5/lg-group-sfcr-2017-final-published.pdf" xr:uid="{7FA7A7EF-BB1C-45D8-AC92-34E76F161372}"/>
    <hyperlink ref="D30" r:id="rId31" display="https://group.legalandgeneral.com/media/x0xhtr0w/solvency-and-financial-condition-group-2016.pdf" xr:uid="{FC621D00-1501-483F-A1B9-CA62F7C26D30}"/>
    <hyperlink ref="D40" r:id="rId32" display="https://www.justgroupplc.co.uk/~/media/Files/J/Just-Retirement-Corp/investor-docs/financial-reports-and-presentations/2023/Just Group SFCR 2022.pdf" xr:uid="{1B5BA811-B82F-492A-B43D-7532DFF16634}"/>
    <hyperlink ref="D39" r:id="rId33" display="https://www.justgroupplc.co.uk/~/media/Files/J/Just-Retirement-Corp/investor-docs/financial-reports-and-presentations/2024/just-group-sfcr-2023.pdf" xr:uid="{CE341661-E24D-496B-AF47-9A5DD5E3B0D4}"/>
    <hyperlink ref="D41" r:id="rId34" display="https://www.justgroupplc.co.uk/~/media/Files/J/Just-Retirement-Corp/investor-docs/financial-reports-and-presentations/2022/Just Group SFCR 2021.pdf" xr:uid="{37A72300-BA8C-4CDF-A7BD-8FA7441223A5}"/>
    <hyperlink ref="D42" r:id="rId35" display="https://www.justgroupplc.co.uk/~/media/Files/J/Just-Retirement-Corp/investor-docs/financial-reports-and-presentations/2021/Just Group SFCR 2020 090420 FINAL.pdf" xr:uid="{AA1E6583-6F68-4B02-B0CB-51CE4C1C99E5}"/>
    <hyperlink ref="D43" r:id="rId36" display="https://www.justgroupplc.co.uk/~/media/Files/J/Just-Retirement-Corp/investor-docs/financial-reports-and-presentations/2020/just-group-2019-sfcr.pdf" xr:uid="{CF9A0A1D-6122-4621-8776-F96857062EF8}"/>
    <hyperlink ref="D44" r:id="rId37" display="https://www.justgroupplc.co.uk/~/media/Files/J/Just-Retirement-Corp/investor-docs/financial-reports-and-presentations/2019/Just Group SFCR 2018.pdf" xr:uid="{B0AC3FAA-481A-45C5-A73E-04A09B0BDC22}"/>
    <hyperlink ref="D45" r:id="rId38" display="https://www.justgroupplc.co.uk/~/media/Files/J/Just-Retirement-Corp/investor-docs/financial-reports-and-presentations/Regulatory returns/sfcr-as-at-31-december-2017.pdf" xr:uid="{67402C99-FAB0-41E5-AB82-94B25F747093}"/>
    <hyperlink ref="D46" r:id="rId39" display="https://www.justgroupplc.co.uk/~/media/Files/J/Just-Retirement-Corp/investor-docs/financial-reports-and-presentations/Regulatory returns/Just Group plc Solvency and Financial Condition Report as at 31 December 2016.pdf" xr:uid="{F30163A8-8CCB-451A-993E-FA87187EF73E}"/>
    <hyperlink ref="D52" r:id="rId40" display="https://adviser.scottishwidows.co.uk/assets/literature/docs/Group-SFCR-2018.pdf" xr:uid="{DCBF7B67-7996-4C8E-8E53-79678F7FF5CE}"/>
    <hyperlink ref="D51" r:id="rId41" display="https://adviser.scottishwidows.co.uk/assets/literature/docs/Group-SFCR-2019.pdf" xr:uid="{5D54A49A-2F33-4C03-A8B2-0E8E4F69E0FE}"/>
    <hyperlink ref="D50" r:id="rId42" display="https://adviser.scottishwidows.co.uk/assets/literature/docs/Group-SFCR-2020.pdf" xr:uid="{CC9CC5F1-E420-4AE1-B16F-A23D5C9C109D}"/>
    <hyperlink ref="D49" r:id="rId43" display="https://adviser.scottishwidows.co.uk/assets/literature/docs/Group-SFCR-2021.pdf" xr:uid="{9CACD6D7-A4FE-4E2F-8B21-1BF9AC82D25D}"/>
    <hyperlink ref="D48" r:id="rId44" display="https://adviser.scottishwidows.co.uk/assets/literature/docs/group_sfcr_2022.pdf" xr:uid="{52D6A0C0-FA01-4609-A1F1-A593B6782E24}"/>
    <hyperlink ref="D47" r:id="rId45" display="https://adviser.scottishwidows.co.uk/assets/literature/docs/group_sfcr_2023.pdf" xr:uid="{4DA6E830-EDC9-4555-AECD-77BEC8418FA0}"/>
    <hyperlink ref="D67" r:id="rId46" xr:uid="{268F4BF2-8895-4153-AD59-7DB93FF8841F}"/>
    <hyperlink ref="D68" r:id="rId47" display="https://www.thephoenixgroup.com/media/jruhvzki/phoenix-group-solvency-and-financial-condition-report-31-december-2022.pdf" xr:uid="{12812246-0A3D-490B-9026-A1598B342FAD}"/>
    <hyperlink ref="D21" r:id="rId48" xr:uid="{C53E0CB9-0A6E-448D-8ABD-D36D3A40FB6D}"/>
    <hyperlink ref="D22" r:id="rId49" display="https://www.pensioncorporation.com/content/dam/pic/corporate/documents/investors/-pic-and-picg-financial-results-and-reports/regulatory-returns/sfcr-year-end-31-december-2016-final.pdf.downloadasset.pdf" xr:uid="{E489C02A-D19C-4A0F-9A2A-E32FBB7E19BB}"/>
    <hyperlink ref="D69" r:id="rId50" xr:uid="{220CFCF7-EEAD-4801-8DA8-0594BF647A57}"/>
    <hyperlink ref="D70" r:id="rId51" display="https://www.thephoenixgroup.com/media/n1kkkwsy/phoenix-group-solvency-and-financial-condition-report-31-december-2020.pdf" xr:uid="{2059EE0D-84EC-43F7-B0D0-91FA4B643959}"/>
    <hyperlink ref="D71" r:id="rId52" display="https://www.thephoenixgroup.com/media/lmrcwnki/phoenix-group-sfcr-31-dec-19-vfinal.pdf" xr:uid="{E8359E94-DE0A-44F9-8C31-AA139C5FCA84}"/>
    <hyperlink ref="D76" r:id="rId53" display="https://www.thephoenixgroup.com/media/xhmnmodf/2019-reassure-sfcr.pdf" xr:uid="{9D55D5F2-9F88-451E-901E-CB6182A55C19}"/>
    <hyperlink ref="D72" r:id="rId54" xr:uid="{D466621C-682E-4EF5-B829-201AC56B75C2}"/>
    <hyperlink ref="D75" r:id="rId55" display="https://www.thephoenixgroup.com/media/lzmncmec/slal-sfcr-2018-signed-with-bookmarks.pdf" xr:uid="{7EEA0F97-EFF1-4D4A-9497-8E12A3F2F942}"/>
    <hyperlink ref="D73" r:id="rId56" display="https://www.thephoenixgroup.com/media/3ukfgixs/phoenix-group-solvency-and-financial-condition-report-ye17.pdf" xr:uid="{F3B4E1A2-4749-4A00-908B-C82BE6B99CB5}"/>
    <hyperlink ref="D74" r:id="rId57" display="https://www.thephoenixgroup.com/media/gvcgoghe/plhl-group-solvency-and-financial-condition-report.pdf" xr:uid="{F3FC7894-0981-4BB1-AF61-FC7422AA9D41}"/>
    <hyperlink ref="D77" r:id="rId58" display="https://www.swissre.com/dam/jcr:91774f33-d98f-44cb-93c7-2d7118262595/sfcr-reassure-group-2018.pdf" xr:uid="{CD043156-DDB1-4B52-B457-6C2EA6C44B6F}"/>
    <hyperlink ref="D78" r:id="rId59" display="https://www.swissre.com/dam/jcr:52e20329-3c7a-46a6-9005-0d40dfe9ab6b/SFCR_Reassure_Group_2017.pdf" xr:uid="{39CCAE32-5B64-42D2-8135-78BC26AED6D3}"/>
    <hyperlink ref="D79" r:id="rId60" display="https://www.swissre.com/dam/jcr:31f2bc03-52ec-4a10-891a-a26ad34e8388/solvency_and_financial_condition_report_reassure.pdf" xr:uid="{94935538-418A-4CA2-A873-966982C3562F}"/>
    <hyperlink ref="D32" r:id="rId61" display="C:\Users\ChristianPreece\Downloads\31 Dec 22 Aviva plc Group SFCR (4).pdf" xr:uid="{696553AB-3DA6-40C8-AF46-29D27221794A}"/>
    <hyperlink ref="D35" r:id="rId62" xr:uid="{C074D6D9-90A5-4CA1-82EC-BAA93B139E34}"/>
    <hyperlink ref="D36" r:id="rId63" xr:uid="{B9122B39-821B-4A63-AC47-EFFBEA9668BB}"/>
    <hyperlink ref="D37" r:id="rId64" xr:uid="{3E5D511D-2EB5-437B-9683-DCB74818B1C7}"/>
    <hyperlink ref="D38" r:id="rId65" xr:uid="{E38B6684-3BEF-43BB-B101-4E8F698EC1BE}"/>
    <hyperlink ref="D56" r:id="rId66" display="https://p3.aprimocdn.net/canadalifeuk/2022-CLL-SFCR.pdf" xr:uid="{0667935E-BA71-4E19-9312-B8C04A009830}"/>
    <hyperlink ref="D55" r:id="rId67" xr:uid="{1606A6E1-E995-4924-988A-2042FA198C2F}"/>
    <hyperlink ref="D57" r:id="rId68" xr:uid="{4844A7C8-F3EF-457C-9182-BE4BCD6BDC90}"/>
    <hyperlink ref="D58" r:id="rId69" display="https://p3.aprimocdn.net/canadalifeuk/cll-2020-sfcr.pdf?_ga=2.32984694.974404502.1649067887-1621884553.1639499390" xr:uid="{491299F5-B160-4AC0-8E6A-4516A7FB942E}"/>
    <hyperlink ref="D59" r:id="rId70" xr:uid="{B5E9E62C-E5B8-4BE0-A720-F4A6EF24C3C3}"/>
    <hyperlink ref="D60" r:id="rId71" xr:uid="{EFF78847-97C2-45F7-A27F-3ECD0FE6D921}"/>
    <hyperlink ref="D61" r:id="rId72" xr:uid="{808A67D9-EE2B-4195-826B-49D35DC7CF1D}"/>
    <hyperlink ref="D62" r:id="rId73" xr:uid="{3777D979-CFB9-4171-998D-289556EC6DA9}"/>
    <hyperlink ref="D85" r:id="rId74" display="https://www.mandg.com/~/media/Files/M/MandG-Plc/documents/investors/SFCR/mg-plc-fy21-single-group-sfcr.pdf" xr:uid="{64EC8DF4-435C-419F-B3F1-AFAF828A910A}"/>
    <hyperlink ref="D86" r:id="rId75" display="https://www.mandg.com/~/media/Files/M/MandG-Plc/documents/investors/Regulatory Returns/2020/MG-plc-SFCR-Report-YE20.pdf" xr:uid="{25750236-D3F4-4599-9C3E-96A764241CEA}"/>
    <hyperlink ref="D87" r:id="rId76" display="https://www.mandg.com/~/media/Files/M/MandG-Plc/documents/investors/SFCR/MGplc-group-solvency-financial-condition-report-2019.pdf" xr:uid="{3970E6B1-4F76-4D6A-9B14-21B2AEFAC656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260BB-76C3-4E96-B918-51E6F203E053}">
  <sheetPr codeName="Sheet3"/>
  <dimension ref="A1:T85"/>
  <sheetViews>
    <sheetView tabSelected="1" workbookViewId="0">
      <pane ySplit="1" topLeftCell="A42" activePane="bottomLeft" state="frozen"/>
      <selection pane="bottomLeft" activeCell="A48" sqref="A48:XFD49"/>
    </sheetView>
  </sheetViews>
  <sheetFormatPr defaultRowHeight="14.4" x14ac:dyDescent="0.3"/>
  <cols>
    <col min="1" max="1" width="28.21875" bestFit="1" customWidth="1"/>
    <col min="2" max="2" width="5.109375" customWidth="1"/>
    <col min="3" max="3" width="18.6640625" customWidth="1"/>
    <col min="4" max="4" width="19.21875" customWidth="1"/>
    <col min="5" max="5" width="16.21875" customWidth="1"/>
    <col min="6" max="6" width="16.109375" customWidth="1"/>
    <col min="7" max="7" width="14.88671875" customWidth="1"/>
    <col min="8" max="8" width="17.21875" customWidth="1"/>
    <col min="9" max="19" width="16.77734375" customWidth="1"/>
    <col min="20" max="20" width="18.88671875" bestFit="1" customWidth="1"/>
  </cols>
  <sheetData>
    <row r="1" spans="1:20" x14ac:dyDescent="0.3">
      <c r="A1" s="10" t="s">
        <v>3</v>
      </c>
      <c r="B1" s="10" t="s">
        <v>4</v>
      </c>
      <c r="C1" s="10" t="s">
        <v>120</v>
      </c>
      <c r="D1" s="10" t="s">
        <v>118</v>
      </c>
      <c r="E1" s="10" t="s">
        <v>102</v>
      </c>
      <c r="F1" s="10" t="s">
        <v>116</v>
      </c>
      <c r="G1" s="10" t="s">
        <v>117</v>
      </c>
      <c r="H1" s="10" t="s">
        <v>103</v>
      </c>
      <c r="I1" s="10" t="s">
        <v>104</v>
      </c>
      <c r="J1" s="10" t="s">
        <v>105</v>
      </c>
      <c r="K1" s="10" t="s">
        <v>106</v>
      </c>
      <c r="L1" s="10" t="s">
        <v>107</v>
      </c>
      <c r="M1" s="10" t="s">
        <v>108</v>
      </c>
      <c r="N1" s="10" t="s">
        <v>109</v>
      </c>
      <c r="O1" s="10" t="s">
        <v>110</v>
      </c>
      <c r="P1" s="10" t="s">
        <v>111</v>
      </c>
      <c r="Q1" s="10" t="s">
        <v>112</v>
      </c>
      <c r="R1" s="10" t="s">
        <v>113</v>
      </c>
      <c r="S1" s="10" t="s">
        <v>114</v>
      </c>
      <c r="T1" s="10" t="s">
        <v>115</v>
      </c>
    </row>
    <row r="2" spans="1:20" x14ac:dyDescent="0.3">
      <c r="A2" s="3" t="s">
        <v>8</v>
      </c>
      <c r="B2" s="3">
        <v>2023</v>
      </c>
      <c r="C2" s="4" t="s">
        <v>9</v>
      </c>
      <c r="D2" s="5">
        <v>7499024000</v>
      </c>
      <c r="E2" s="23">
        <f>D3</f>
        <v>5543338000</v>
      </c>
      <c r="F2" s="23">
        <f>D2-E2</f>
        <v>1955686000</v>
      </c>
      <c r="G2" s="23">
        <f>F2/12</f>
        <v>162973833.33333334</v>
      </c>
      <c r="H2" s="23">
        <f>E2+(1*G2)</f>
        <v>5706311833.333333</v>
      </c>
      <c r="I2" s="23">
        <f>E2+(2*G2)</f>
        <v>5869285666.666667</v>
      </c>
      <c r="J2" s="23">
        <f>E2+(3*G2)</f>
        <v>6032259500</v>
      </c>
      <c r="K2" s="23">
        <f>E2+(4*G2)</f>
        <v>6195233333.333333</v>
      </c>
      <c r="L2" s="23">
        <f>E2+(5*G2)</f>
        <v>6358207166.666667</v>
      </c>
      <c r="M2" s="23">
        <f>E2+(6*G2)</f>
        <v>6521181000</v>
      </c>
      <c r="N2" s="23">
        <f>E2+(7*G2)</f>
        <v>6684154833.333334</v>
      </c>
      <c r="O2" s="23">
        <f>E2+(8*G2)</f>
        <v>6847128666.666667</v>
      </c>
      <c r="P2" s="23">
        <f>E2+(9*G2)</f>
        <v>7010102500</v>
      </c>
      <c r="Q2" s="23">
        <f>E2+(10*G2)</f>
        <v>7173076333.333334</v>
      </c>
      <c r="R2" s="23">
        <f>E2+(11*G2)</f>
        <v>7336050166.666667</v>
      </c>
      <c r="S2" s="23">
        <f>E2+(12*G2)</f>
        <v>7499024000</v>
      </c>
      <c r="T2" s="23">
        <f>S2-D2</f>
        <v>0</v>
      </c>
    </row>
    <row r="3" spans="1:20" x14ac:dyDescent="0.3">
      <c r="A3" s="3" t="s">
        <v>8</v>
      </c>
      <c r="B3" s="3">
        <v>2022</v>
      </c>
      <c r="C3" s="4" t="s">
        <v>10</v>
      </c>
      <c r="D3" s="5">
        <v>5543338000</v>
      </c>
      <c r="E3" s="23">
        <f t="shared" ref="E3:E66" si="0">D4</f>
        <v>6654753000</v>
      </c>
      <c r="F3" s="23">
        <f t="shared" ref="F3:F66" si="1">D3-E3</f>
        <v>-1111415000</v>
      </c>
      <c r="G3" s="23">
        <f>F3/12</f>
        <v>-92617916.666666672</v>
      </c>
      <c r="H3" s="23">
        <f t="shared" ref="H3:H66" si="2">E3+(1*G3)</f>
        <v>6562135083.333333</v>
      </c>
      <c r="I3" s="23">
        <f t="shared" ref="I3:I66" si="3">E3+(2*G3)</f>
        <v>6469517166.666667</v>
      </c>
      <c r="J3" s="23">
        <f t="shared" ref="J3:J66" si="4">E3+(3*G3)</f>
        <v>6376899250</v>
      </c>
      <c r="K3" s="23">
        <f t="shared" ref="K3:K66" si="5">E3+(4*G3)</f>
        <v>6284281333.333333</v>
      </c>
      <c r="L3" s="23">
        <f t="shared" ref="L3:L66" si="6">E3+(5*G3)</f>
        <v>6191663416.666667</v>
      </c>
      <c r="M3" s="23">
        <f t="shared" ref="M3:M66" si="7">E3+(6*G3)</f>
        <v>6099045500</v>
      </c>
      <c r="N3" s="23">
        <f t="shared" ref="N3:N66" si="8">E3+(7*G3)</f>
        <v>6006427583.333333</v>
      </c>
      <c r="O3" s="23">
        <f t="shared" ref="O3:O66" si="9">E3+(8*G3)</f>
        <v>5913809666.666667</v>
      </c>
      <c r="P3" s="23">
        <f t="shared" ref="P3:P66" si="10">E3+(9*G3)</f>
        <v>5821191750</v>
      </c>
      <c r="Q3" s="23">
        <f t="shared" ref="Q3:Q66" si="11">E3+(10*G3)</f>
        <v>5728573833.333333</v>
      </c>
      <c r="R3" s="23">
        <f t="shared" ref="R3:R66" si="12">E3+(11*G3)</f>
        <v>5635955916.666667</v>
      </c>
      <c r="S3" s="23">
        <f t="shared" ref="S3:S66" si="13">E3+(12*G3)</f>
        <v>5543338000</v>
      </c>
      <c r="T3" s="23">
        <f t="shared" ref="T3:T66" si="14">S3-D3</f>
        <v>0</v>
      </c>
    </row>
    <row r="4" spans="1:20" x14ac:dyDescent="0.3">
      <c r="A4" s="3" t="s">
        <v>8</v>
      </c>
      <c r="B4" s="3">
        <v>2021</v>
      </c>
      <c r="C4" s="1" t="s">
        <v>11</v>
      </c>
      <c r="D4" s="5">
        <v>6654753000</v>
      </c>
      <c r="E4" s="23">
        <f t="shared" si="0"/>
        <v>6561793000</v>
      </c>
      <c r="F4" s="23">
        <f t="shared" si="1"/>
        <v>92960000</v>
      </c>
      <c r="G4" s="23">
        <f t="shared" ref="G4:G67" si="15">F4/12</f>
        <v>7746666.666666667</v>
      </c>
      <c r="H4" s="23">
        <f t="shared" si="2"/>
        <v>6569539666.666667</v>
      </c>
      <c r="I4" s="23">
        <f t="shared" si="3"/>
        <v>6577286333.333333</v>
      </c>
      <c r="J4" s="23">
        <f t="shared" si="4"/>
        <v>6585033000</v>
      </c>
      <c r="K4" s="23">
        <f t="shared" si="5"/>
        <v>6592779666.666667</v>
      </c>
      <c r="L4" s="23">
        <f t="shared" si="6"/>
        <v>6600526333.333333</v>
      </c>
      <c r="M4" s="23">
        <f t="shared" si="7"/>
        <v>6608273000</v>
      </c>
      <c r="N4" s="23">
        <f t="shared" si="8"/>
        <v>6616019666.666667</v>
      </c>
      <c r="O4" s="23">
        <f t="shared" si="9"/>
        <v>6623766333.333333</v>
      </c>
      <c r="P4" s="23">
        <f t="shared" si="10"/>
        <v>6631513000</v>
      </c>
      <c r="Q4" s="23">
        <f t="shared" si="11"/>
        <v>6639259666.666667</v>
      </c>
      <c r="R4" s="23">
        <f t="shared" si="12"/>
        <v>6647006333.333333</v>
      </c>
      <c r="S4" s="23">
        <f t="shared" si="13"/>
        <v>6654753000</v>
      </c>
      <c r="T4" s="23">
        <f t="shared" si="14"/>
        <v>0</v>
      </c>
    </row>
    <row r="5" spans="1:20" x14ac:dyDescent="0.3">
      <c r="A5" s="3" t="s">
        <v>8</v>
      </c>
      <c r="B5" s="3">
        <v>2020</v>
      </c>
      <c r="C5" s="4" t="s">
        <v>12</v>
      </c>
      <c r="D5" s="5">
        <v>6561793000</v>
      </c>
      <c r="E5" s="23">
        <f t="shared" si="0"/>
        <v>5504717000</v>
      </c>
      <c r="F5" s="23">
        <f t="shared" si="1"/>
        <v>1057076000</v>
      </c>
      <c r="G5" s="23">
        <f t="shared" si="15"/>
        <v>88089666.666666672</v>
      </c>
      <c r="H5" s="23">
        <f t="shared" si="2"/>
        <v>5592806666.666667</v>
      </c>
      <c r="I5" s="23">
        <f t="shared" si="3"/>
        <v>5680896333.333333</v>
      </c>
      <c r="J5" s="23">
        <f t="shared" si="4"/>
        <v>5768986000</v>
      </c>
      <c r="K5" s="23">
        <f t="shared" si="5"/>
        <v>5857075666.666667</v>
      </c>
      <c r="L5" s="23">
        <f t="shared" si="6"/>
        <v>5945165333.333333</v>
      </c>
      <c r="M5" s="23">
        <f t="shared" si="7"/>
        <v>6033255000</v>
      </c>
      <c r="N5" s="23">
        <f t="shared" si="8"/>
        <v>6121344666.666667</v>
      </c>
      <c r="O5" s="23">
        <f t="shared" si="9"/>
        <v>6209434333.333333</v>
      </c>
      <c r="P5" s="23">
        <f t="shared" si="10"/>
        <v>6297524000</v>
      </c>
      <c r="Q5" s="23">
        <f t="shared" si="11"/>
        <v>6385613666.666667</v>
      </c>
      <c r="R5" s="23">
        <f t="shared" si="12"/>
        <v>6473703333.333333</v>
      </c>
      <c r="S5" s="23">
        <f t="shared" si="13"/>
        <v>6561793000</v>
      </c>
      <c r="T5" s="23">
        <f t="shared" si="14"/>
        <v>0</v>
      </c>
    </row>
    <row r="6" spans="1:20" x14ac:dyDescent="0.3">
      <c r="A6" s="3" t="s">
        <v>8</v>
      </c>
      <c r="B6" s="3">
        <v>2019</v>
      </c>
      <c r="C6" s="4" t="s">
        <v>13</v>
      </c>
      <c r="D6" s="5">
        <v>5504717000</v>
      </c>
      <c r="E6" s="23">
        <f t="shared" si="0"/>
        <v>4088073000</v>
      </c>
      <c r="F6" s="23">
        <f t="shared" si="1"/>
        <v>1416644000</v>
      </c>
      <c r="G6" s="23">
        <f t="shared" si="15"/>
        <v>118053666.66666667</v>
      </c>
      <c r="H6" s="23">
        <f t="shared" si="2"/>
        <v>4206126666.6666665</v>
      </c>
      <c r="I6" s="23">
        <f t="shared" si="3"/>
        <v>4324180333.333333</v>
      </c>
      <c r="J6" s="23">
        <f t="shared" si="4"/>
        <v>4442234000</v>
      </c>
      <c r="K6" s="23">
        <f t="shared" si="5"/>
        <v>4560287666.666667</v>
      </c>
      <c r="L6" s="23">
        <f t="shared" si="6"/>
        <v>4678341333.333333</v>
      </c>
      <c r="M6" s="23">
        <f t="shared" si="7"/>
        <v>4796395000</v>
      </c>
      <c r="N6" s="23">
        <f t="shared" si="8"/>
        <v>4914448666.666667</v>
      </c>
      <c r="O6" s="23">
        <f t="shared" si="9"/>
        <v>5032502333.333333</v>
      </c>
      <c r="P6" s="23">
        <f t="shared" si="10"/>
        <v>5150556000</v>
      </c>
      <c r="Q6" s="23">
        <f t="shared" si="11"/>
        <v>5268609666.666667</v>
      </c>
      <c r="R6" s="23">
        <f t="shared" si="12"/>
        <v>5386663333.333334</v>
      </c>
      <c r="S6" s="23">
        <f t="shared" si="13"/>
        <v>5504717000</v>
      </c>
      <c r="T6" s="23">
        <f t="shared" si="14"/>
        <v>0</v>
      </c>
    </row>
    <row r="7" spans="1:20" x14ac:dyDescent="0.3">
      <c r="A7" s="3" t="s">
        <v>8</v>
      </c>
      <c r="B7" s="3">
        <v>2018</v>
      </c>
      <c r="C7" s="1" t="s">
        <v>14</v>
      </c>
      <c r="D7" s="5">
        <v>4088073000</v>
      </c>
      <c r="E7" s="23">
        <f t="shared" si="0"/>
        <v>743104000</v>
      </c>
      <c r="F7" s="23">
        <f t="shared" si="1"/>
        <v>3344969000</v>
      </c>
      <c r="G7" s="23">
        <f t="shared" si="15"/>
        <v>278747416.66666669</v>
      </c>
      <c r="H7" s="23">
        <f t="shared" si="2"/>
        <v>1021851416.6666667</v>
      </c>
      <c r="I7" s="23">
        <f t="shared" si="3"/>
        <v>1300598833.3333335</v>
      </c>
      <c r="J7" s="23">
        <f t="shared" si="4"/>
        <v>1579346250</v>
      </c>
      <c r="K7" s="23">
        <f t="shared" si="5"/>
        <v>1858093666.6666667</v>
      </c>
      <c r="L7" s="23">
        <f t="shared" si="6"/>
        <v>2136841083.3333335</v>
      </c>
      <c r="M7" s="23">
        <f t="shared" si="7"/>
        <v>2415588500</v>
      </c>
      <c r="N7" s="23">
        <f t="shared" si="8"/>
        <v>2694335916.666667</v>
      </c>
      <c r="O7" s="23">
        <f t="shared" si="9"/>
        <v>2973083333.3333335</v>
      </c>
      <c r="P7" s="23">
        <f t="shared" si="10"/>
        <v>3251830750</v>
      </c>
      <c r="Q7" s="23">
        <f t="shared" si="11"/>
        <v>3530578166.666667</v>
      </c>
      <c r="R7" s="23">
        <f t="shared" si="12"/>
        <v>3809325583.3333335</v>
      </c>
      <c r="S7" s="23">
        <f t="shared" si="13"/>
        <v>4088073000</v>
      </c>
      <c r="T7" s="23">
        <f t="shared" si="14"/>
        <v>0</v>
      </c>
    </row>
    <row r="8" spans="1:20" x14ac:dyDescent="0.3">
      <c r="A8" s="3" t="s">
        <v>8</v>
      </c>
      <c r="B8" s="3">
        <v>2017</v>
      </c>
      <c r="C8" s="1" t="s">
        <v>16</v>
      </c>
      <c r="D8" s="5">
        <v>743104000</v>
      </c>
      <c r="E8" s="23">
        <f t="shared" si="0"/>
        <v>866613000</v>
      </c>
      <c r="F8" s="23">
        <f t="shared" si="1"/>
        <v>-123509000</v>
      </c>
      <c r="G8" s="23">
        <f t="shared" si="15"/>
        <v>-10292416.666666666</v>
      </c>
      <c r="H8" s="23">
        <f t="shared" si="2"/>
        <v>856320583.33333337</v>
      </c>
      <c r="I8" s="23">
        <f t="shared" si="3"/>
        <v>846028166.66666663</v>
      </c>
      <c r="J8" s="23">
        <f t="shared" si="4"/>
        <v>835735750</v>
      </c>
      <c r="K8" s="23">
        <f t="shared" si="5"/>
        <v>825443333.33333337</v>
      </c>
      <c r="L8" s="23">
        <f t="shared" si="6"/>
        <v>815150916.66666663</v>
      </c>
      <c r="M8" s="23">
        <f t="shared" si="7"/>
        <v>804858500</v>
      </c>
      <c r="N8" s="23">
        <f t="shared" si="8"/>
        <v>794566083.33333337</v>
      </c>
      <c r="O8" s="23">
        <f t="shared" si="9"/>
        <v>784273666.66666663</v>
      </c>
      <c r="P8" s="23">
        <f t="shared" si="10"/>
        <v>773981250</v>
      </c>
      <c r="Q8" s="23">
        <f t="shared" si="11"/>
        <v>763688833.33333337</v>
      </c>
      <c r="R8" s="23">
        <f t="shared" si="12"/>
        <v>753396416.66666663</v>
      </c>
      <c r="S8" s="23">
        <f t="shared" si="13"/>
        <v>743104000</v>
      </c>
      <c r="T8" s="23">
        <f t="shared" si="14"/>
        <v>0</v>
      </c>
    </row>
    <row r="9" spans="1:20" x14ac:dyDescent="0.3">
      <c r="A9" s="3" t="s">
        <v>8</v>
      </c>
      <c r="B9" s="3">
        <v>2016</v>
      </c>
      <c r="C9" s="1" t="s">
        <v>18</v>
      </c>
      <c r="D9" s="5">
        <v>866613000</v>
      </c>
      <c r="E9" s="23"/>
      <c r="F9" s="23"/>
      <c r="G9" s="23">
        <f t="shared" si="15"/>
        <v>0</v>
      </c>
      <c r="H9" s="23">
        <f t="shared" si="2"/>
        <v>0</v>
      </c>
      <c r="I9" s="23">
        <f t="shared" si="3"/>
        <v>0</v>
      </c>
      <c r="J9" s="23">
        <f t="shared" si="4"/>
        <v>0</v>
      </c>
      <c r="K9" s="23">
        <f t="shared" si="5"/>
        <v>0</v>
      </c>
      <c r="L9" s="23">
        <f t="shared" si="6"/>
        <v>0</v>
      </c>
      <c r="M9" s="23">
        <f t="shared" si="7"/>
        <v>0</v>
      </c>
      <c r="N9" s="23">
        <f t="shared" si="8"/>
        <v>0</v>
      </c>
      <c r="O9" s="23">
        <f t="shared" si="9"/>
        <v>0</v>
      </c>
      <c r="P9" s="23">
        <f t="shared" si="10"/>
        <v>0</v>
      </c>
      <c r="Q9" s="23">
        <f t="shared" si="11"/>
        <v>0</v>
      </c>
      <c r="R9" s="23">
        <f t="shared" si="12"/>
        <v>0</v>
      </c>
      <c r="S9" s="23">
        <f t="shared" si="13"/>
        <v>0</v>
      </c>
      <c r="T9" s="23"/>
    </row>
    <row r="10" spans="1:20" x14ac:dyDescent="0.3">
      <c r="A10" s="3" t="s">
        <v>19</v>
      </c>
      <c r="B10" s="3">
        <v>2023</v>
      </c>
      <c r="C10" s="4" t="s">
        <v>20</v>
      </c>
      <c r="D10" s="5">
        <v>5346243154</v>
      </c>
      <c r="E10" s="23">
        <f t="shared" si="0"/>
        <v>4171766780</v>
      </c>
      <c r="F10" s="23">
        <f t="shared" si="1"/>
        <v>1174476374</v>
      </c>
      <c r="G10" s="23">
        <f t="shared" si="15"/>
        <v>97873031.166666672</v>
      </c>
      <c r="H10" s="23">
        <f t="shared" si="2"/>
        <v>4269639811.1666665</v>
      </c>
      <c r="I10" s="23">
        <f t="shared" si="3"/>
        <v>4367512842.333333</v>
      </c>
      <c r="J10" s="23">
        <f t="shared" si="4"/>
        <v>4465385873.5</v>
      </c>
      <c r="K10" s="23">
        <f t="shared" si="5"/>
        <v>4563258904.666667</v>
      </c>
      <c r="L10" s="23">
        <f t="shared" si="6"/>
        <v>4661131935.833333</v>
      </c>
      <c r="M10" s="23">
        <f t="shared" si="7"/>
        <v>4759004967</v>
      </c>
      <c r="N10" s="23">
        <f t="shared" si="8"/>
        <v>4856877998.166667</v>
      </c>
      <c r="O10" s="23">
        <f t="shared" si="9"/>
        <v>4954751029.333333</v>
      </c>
      <c r="P10" s="23">
        <f t="shared" si="10"/>
        <v>5052624060.5</v>
      </c>
      <c r="Q10" s="23">
        <f t="shared" si="11"/>
        <v>5150497091.666667</v>
      </c>
      <c r="R10" s="23">
        <f t="shared" si="12"/>
        <v>5248370122.833334</v>
      </c>
      <c r="S10" s="23">
        <f t="shared" si="13"/>
        <v>5346243154</v>
      </c>
      <c r="T10" s="23">
        <f t="shared" si="14"/>
        <v>0</v>
      </c>
    </row>
    <row r="11" spans="1:20" x14ac:dyDescent="0.3">
      <c r="A11" s="3" t="s">
        <v>19</v>
      </c>
      <c r="B11" s="3">
        <v>2022</v>
      </c>
      <c r="C11" s="4" t="s">
        <v>21</v>
      </c>
      <c r="D11" s="5">
        <v>4171766780</v>
      </c>
      <c r="E11" s="23">
        <f t="shared" si="0"/>
        <v>6116598221</v>
      </c>
      <c r="F11" s="23">
        <f t="shared" si="1"/>
        <v>-1944831441</v>
      </c>
      <c r="G11" s="23">
        <f t="shared" si="15"/>
        <v>-162069286.75</v>
      </c>
      <c r="H11" s="23">
        <f t="shared" si="2"/>
        <v>5954528934.25</v>
      </c>
      <c r="I11" s="23">
        <f t="shared" si="3"/>
        <v>5792459647.5</v>
      </c>
      <c r="J11" s="23">
        <f t="shared" si="4"/>
        <v>5630390360.75</v>
      </c>
      <c r="K11" s="23">
        <f t="shared" si="5"/>
        <v>5468321074</v>
      </c>
      <c r="L11" s="23">
        <f t="shared" si="6"/>
        <v>5306251787.25</v>
      </c>
      <c r="M11" s="23">
        <f t="shared" si="7"/>
        <v>5144182500.5</v>
      </c>
      <c r="N11" s="23">
        <f t="shared" si="8"/>
        <v>4982113213.75</v>
      </c>
      <c r="O11" s="23">
        <f t="shared" si="9"/>
        <v>4820043927</v>
      </c>
      <c r="P11" s="23">
        <f t="shared" si="10"/>
        <v>4657974640.25</v>
      </c>
      <c r="Q11" s="23">
        <f t="shared" si="11"/>
        <v>4495905353.5</v>
      </c>
      <c r="R11" s="23">
        <f t="shared" si="12"/>
        <v>4333836066.75</v>
      </c>
      <c r="S11" s="23">
        <f t="shared" si="13"/>
        <v>4171766780</v>
      </c>
      <c r="T11" s="23">
        <f t="shared" si="14"/>
        <v>0</v>
      </c>
    </row>
    <row r="12" spans="1:20" x14ac:dyDescent="0.3">
      <c r="A12" s="3" t="s">
        <v>19</v>
      </c>
      <c r="B12" s="3">
        <v>2021</v>
      </c>
      <c r="C12" s="4" t="s">
        <v>22</v>
      </c>
      <c r="D12" s="5">
        <v>6116598221</v>
      </c>
      <c r="E12" s="23">
        <f t="shared" si="0"/>
        <v>5894320307</v>
      </c>
      <c r="F12" s="23">
        <f t="shared" si="1"/>
        <v>222277914</v>
      </c>
      <c r="G12" s="23">
        <f t="shared" si="15"/>
        <v>18523159.5</v>
      </c>
      <c r="H12" s="23">
        <f t="shared" si="2"/>
        <v>5912843466.5</v>
      </c>
      <c r="I12" s="23">
        <f t="shared" si="3"/>
        <v>5931366626</v>
      </c>
      <c r="J12" s="23">
        <f t="shared" si="4"/>
        <v>5949889785.5</v>
      </c>
      <c r="K12" s="23">
        <f t="shared" si="5"/>
        <v>5968412945</v>
      </c>
      <c r="L12" s="23">
        <f t="shared" si="6"/>
        <v>5986936104.5</v>
      </c>
      <c r="M12" s="23">
        <f t="shared" si="7"/>
        <v>6005459264</v>
      </c>
      <c r="N12" s="23">
        <f t="shared" si="8"/>
        <v>6023982423.5</v>
      </c>
      <c r="O12" s="23">
        <f t="shared" si="9"/>
        <v>6042505583</v>
      </c>
      <c r="P12" s="23">
        <f t="shared" si="10"/>
        <v>6061028742.5</v>
      </c>
      <c r="Q12" s="23">
        <f t="shared" si="11"/>
        <v>6079551902</v>
      </c>
      <c r="R12" s="23">
        <f t="shared" si="12"/>
        <v>6098075061.5</v>
      </c>
      <c r="S12" s="23">
        <f t="shared" si="13"/>
        <v>6116598221</v>
      </c>
      <c r="T12" s="23">
        <f t="shared" si="14"/>
        <v>0</v>
      </c>
    </row>
    <row r="13" spans="1:20" x14ac:dyDescent="0.3">
      <c r="A13" s="3" t="s">
        <v>19</v>
      </c>
      <c r="B13" s="3">
        <v>2020</v>
      </c>
      <c r="C13" s="4" t="s">
        <v>23</v>
      </c>
      <c r="D13" s="5">
        <v>5894320307</v>
      </c>
      <c r="E13" s="23">
        <f t="shared" si="0"/>
        <v>4935482830</v>
      </c>
      <c r="F13" s="23">
        <f t="shared" si="1"/>
        <v>958837477</v>
      </c>
      <c r="G13" s="23">
        <f t="shared" si="15"/>
        <v>79903123.083333328</v>
      </c>
      <c r="H13" s="23">
        <f t="shared" si="2"/>
        <v>5015385953.083333</v>
      </c>
      <c r="I13" s="23">
        <f t="shared" si="3"/>
        <v>5095289076.166667</v>
      </c>
      <c r="J13" s="23">
        <f t="shared" si="4"/>
        <v>5175192199.25</v>
      </c>
      <c r="K13" s="23">
        <f t="shared" si="5"/>
        <v>5255095322.333333</v>
      </c>
      <c r="L13" s="23">
        <f t="shared" si="6"/>
        <v>5334998445.416667</v>
      </c>
      <c r="M13" s="23">
        <f t="shared" si="7"/>
        <v>5414901568.5</v>
      </c>
      <c r="N13" s="23">
        <f t="shared" si="8"/>
        <v>5494804691.583333</v>
      </c>
      <c r="O13" s="23">
        <f t="shared" si="9"/>
        <v>5574707814.666667</v>
      </c>
      <c r="P13" s="23">
        <f t="shared" si="10"/>
        <v>5654610937.75</v>
      </c>
      <c r="Q13" s="23">
        <f t="shared" si="11"/>
        <v>5734514060.833333</v>
      </c>
      <c r="R13" s="23">
        <f t="shared" si="12"/>
        <v>5814417183.916667</v>
      </c>
      <c r="S13" s="23">
        <f t="shared" si="13"/>
        <v>5894320307</v>
      </c>
      <c r="T13" s="23">
        <f t="shared" si="14"/>
        <v>0</v>
      </c>
    </row>
    <row r="14" spans="1:20" x14ac:dyDescent="0.3">
      <c r="A14" s="3" t="s">
        <v>19</v>
      </c>
      <c r="B14" s="3">
        <v>2019</v>
      </c>
      <c r="C14" s="4" t="s">
        <v>24</v>
      </c>
      <c r="D14" s="5">
        <v>4935482830</v>
      </c>
      <c r="E14" s="23">
        <f t="shared" si="0"/>
        <v>3749342365</v>
      </c>
      <c r="F14" s="23">
        <f t="shared" si="1"/>
        <v>1186140465</v>
      </c>
      <c r="G14" s="23">
        <f t="shared" si="15"/>
        <v>98845038.75</v>
      </c>
      <c r="H14" s="23">
        <f t="shared" si="2"/>
        <v>3848187403.75</v>
      </c>
      <c r="I14" s="23">
        <f t="shared" si="3"/>
        <v>3947032442.5</v>
      </c>
      <c r="J14" s="23">
        <f t="shared" si="4"/>
        <v>4045877481.25</v>
      </c>
      <c r="K14" s="23">
        <f t="shared" si="5"/>
        <v>4144722520</v>
      </c>
      <c r="L14" s="23">
        <f t="shared" si="6"/>
        <v>4243567558.75</v>
      </c>
      <c r="M14" s="23">
        <f t="shared" si="7"/>
        <v>4342412597.5</v>
      </c>
      <c r="N14" s="23">
        <f t="shared" si="8"/>
        <v>4441257636.25</v>
      </c>
      <c r="O14" s="23">
        <f t="shared" si="9"/>
        <v>4540102675</v>
      </c>
      <c r="P14" s="23">
        <f t="shared" si="10"/>
        <v>4638947713.75</v>
      </c>
      <c r="Q14" s="23">
        <f t="shared" si="11"/>
        <v>4737792752.5</v>
      </c>
      <c r="R14" s="23">
        <f t="shared" si="12"/>
        <v>4836637791.25</v>
      </c>
      <c r="S14" s="23">
        <f t="shared" si="13"/>
        <v>4935482830</v>
      </c>
      <c r="T14" s="23">
        <f t="shared" si="14"/>
        <v>0</v>
      </c>
    </row>
    <row r="15" spans="1:20" x14ac:dyDescent="0.3">
      <c r="A15" s="3" t="s">
        <v>19</v>
      </c>
      <c r="B15" s="3">
        <v>2018</v>
      </c>
      <c r="C15" s="4" t="s">
        <v>67</v>
      </c>
      <c r="D15" s="18">
        <v>3749342365</v>
      </c>
      <c r="E15" s="23">
        <f t="shared" si="0"/>
        <v>3041138111</v>
      </c>
      <c r="F15" s="23">
        <f t="shared" si="1"/>
        <v>708204254</v>
      </c>
      <c r="G15" s="23">
        <f t="shared" si="15"/>
        <v>59017021.166666664</v>
      </c>
      <c r="H15" s="23">
        <f t="shared" si="2"/>
        <v>3100155132.1666665</v>
      </c>
      <c r="I15" s="23">
        <f t="shared" si="3"/>
        <v>3159172153.3333335</v>
      </c>
      <c r="J15" s="23">
        <f t="shared" si="4"/>
        <v>3218189174.5</v>
      </c>
      <c r="K15" s="23">
        <f t="shared" si="5"/>
        <v>3277206195.6666665</v>
      </c>
      <c r="L15" s="23">
        <f t="shared" si="6"/>
        <v>3336223216.8333335</v>
      </c>
      <c r="M15" s="23">
        <f t="shared" si="7"/>
        <v>3395240238</v>
      </c>
      <c r="N15" s="23">
        <f t="shared" si="8"/>
        <v>3454257259.1666665</v>
      </c>
      <c r="O15" s="23">
        <f t="shared" si="9"/>
        <v>3513274280.3333335</v>
      </c>
      <c r="P15" s="23">
        <f t="shared" si="10"/>
        <v>3572291301.5</v>
      </c>
      <c r="Q15" s="23">
        <f t="shared" si="11"/>
        <v>3631308322.6666665</v>
      </c>
      <c r="R15" s="23">
        <f t="shared" si="12"/>
        <v>3690325343.833333</v>
      </c>
      <c r="S15" s="23">
        <f t="shared" si="13"/>
        <v>3749342365</v>
      </c>
      <c r="T15" s="23">
        <f t="shared" si="14"/>
        <v>0</v>
      </c>
    </row>
    <row r="16" spans="1:20" x14ac:dyDescent="0.3">
      <c r="A16" s="3" t="s">
        <v>19</v>
      </c>
      <c r="B16" s="3">
        <v>2017</v>
      </c>
      <c r="C16" s="19" t="s">
        <v>66</v>
      </c>
      <c r="D16" s="18">
        <v>3041138111</v>
      </c>
      <c r="E16" s="23">
        <f t="shared" si="0"/>
        <v>2752724235</v>
      </c>
      <c r="F16" s="23">
        <f t="shared" si="1"/>
        <v>288413876</v>
      </c>
      <c r="G16" s="23">
        <f t="shared" si="15"/>
        <v>24034489.666666668</v>
      </c>
      <c r="H16" s="23">
        <f t="shared" si="2"/>
        <v>2776758724.6666665</v>
      </c>
      <c r="I16" s="23">
        <f t="shared" si="3"/>
        <v>2800793214.3333335</v>
      </c>
      <c r="J16" s="23">
        <f t="shared" si="4"/>
        <v>2824827704</v>
      </c>
      <c r="K16" s="23">
        <f t="shared" si="5"/>
        <v>2848862193.6666665</v>
      </c>
      <c r="L16" s="23">
        <f t="shared" si="6"/>
        <v>2872896683.3333335</v>
      </c>
      <c r="M16" s="23">
        <f t="shared" si="7"/>
        <v>2896931173</v>
      </c>
      <c r="N16" s="23">
        <f t="shared" si="8"/>
        <v>2920965662.6666665</v>
      </c>
      <c r="O16" s="23">
        <f t="shared" si="9"/>
        <v>2945000152.3333335</v>
      </c>
      <c r="P16" s="23">
        <f t="shared" si="10"/>
        <v>2969034642</v>
      </c>
      <c r="Q16" s="23">
        <f t="shared" si="11"/>
        <v>2993069131.6666665</v>
      </c>
      <c r="R16" s="23">
        <f t="shared" si="12"/>
        <v>3017103621.3333335</v>
      </c>
      <c r="S16" s="23">
        <f t="shared" si="13"/>
        <v>3041138111</v>
      </c>
      <c r="T16" s="23">
        <f t="shared" si="14"/>
        <v>0</v>
      </c>
    </row>
    <row r="17" spans="1:20" x14ac:dyDescent="0.3">
      <c r="A17" s="3" t="s">
        <v>19</v>
      </c>
      <c r="B17" s="3">
        <v>2016</v>
      </c>
      <c r="C17" s="1" t="s">
        <v>68</v>
      </c>
      <c r="D17" s="18">
        <v>2752724235</v>
      </c>
      <c r="E17" s="23"/>
      <c r="F17" s="23"/>
      <c r="G17" s="23">
        <f t="shared" si="15"/>
        <v>0</v>
      </c>
      <c r="H17" s="23">
        <f t="shared" si="2"/>
        <v>0</v>
      </c>
      <c r="I17" s="23">
        <f t="shared" si="3"/>
        <v>0</v>
      </c>
      <c r="J17" s="23">
        <f t="shared" si="4"/>
        <v>0</v>
      </c>
      <c r="K17" s="23">
        <f t="shared" si="5"/>
        <v>0</v>
      </c>
      <c r="L17" s="23">
        <f t="shared" si="6"/>
        <v>0</v>
      </c>
      <c r="M17" s="23">
        <f t="shared" si="7"/>
        <v>0</v>
      </c>
      <c r="N17" s="23">
        <f t="shared" si="8"/>
        <v>0</v>
      </c>
      <c r="O17" s="23">
        <f t="shared" si="9"/>
        <v>0</v>
      </c>
      <c r="P17" s="23">
        <f t="shared" si="10"/>
        <v>0</v>
      </c>
      <c r="Q17" s="23">
        <f t="shared" si="11"/>
        <v>0</v>
      </c>
      <c r="R17" s="23">
        <f t="shared" si="12"/>
        <v>0</v>
      </c>
      <c r="S17" s="23">
        <f t="shared" si="13"/>
        <v>0</v>
      </c>
      <c r="T17" s="23"/>
    </row>
    <row r="18" spans="1:20" x14ac:dyDescent="0.3">
      <c r="A18" s="3" t="s">
        <v>26</v>
      </c>
      <c r="B18" s="3">
        <v>2023</v>
      </c>
      <c r="C18" s="4" t="s">
        <v>27</v>
      </c>
      <c r="D18" s="5">
        <v>12772918000</v>
      </c>
      <c r="E18" s="23">
        <f t="shared" si="0"/>
        <v>8097088000</v>
      </c>
      <c r="F18" s="23">
        <f t="shared" si="1"/>
        <v>4675830000</v>
      </c>
      <c r="G18" s="23">
        <f t="shared" si="15"/>
        <v>389652500</v>
      </c>
      <c r="H18" s="23">
        <f t="shared" si="2"/>
        <v>8486740500</v>
      </c>
      <c r="I18" s="23">
        <f t="shared" si="3"/>
        <v>8876393000</v>
      </c>
      <c r="J18" s="23">
        <f t="shared" si="4"/>
        <v>9266045500</v>
      </c>
      <c r="K18" s="23">
        <f t="shared" si="5"/>
        <v>9655698000</v>
      </c>
      <c r="L18" s="23">
        <f t="shared" si="6"/>
        <v>10045350500</v>
      </c>
      <c r="M18" s="23">
        <f t="shared" si="7"/>
        <v>10435003000</v>
      </c>
      <c r="N18" s="23">
        <f t="shared" si="8"/>
        <v>10824655500</v>
      </c>
      <c r="O18" s="23">
        <f t="shared" si="9"/>
        <v>11214308000</v>
      </c>
      <c r="P18" s="23">
        <f t="shared" si="10"/>
        <v>11603960500</v>
      </c>
      <c r="Q18" s="23">
        <f t="shared" si="11"/>
        <v>11993613000</v>
      </c>
      <c r="R18" s="23">
        <f t="shared" si="12"/>
        <v>12383265500</v>
      </c>
      <c r="S18" s="23">
        <f t="shared" si="13"/>
        <v>12772918000</v>
      </c>
      <c r="T18" s="23">
        <f t="shared" si="14"/>
        <v>0</v>
      </c>
    </row>
    <row r="19" spans="1:20" x14ac:dyDescent="0.3">
      <c r="A19" s="3" t="s">
        <v>26</v>
      </c>
      <c r="B19" s="6">
        <v>2022</v>
      </c>
      <c r="C19" s="4" t="s">
        <v>28</v>
      </c>
      <c r="D19" s="18">
        <v>8097088000</v>
      </c>
      <c r="E19" s="23">
        <f t="shared" si="0"/>
        <v>16625489000</v>
      </c>
      <c r="F19" s="23">
        <f t="shared" si="1"/>
        <v>-8528401000</v>
      </c>
      <c r="G19" s="23">
        <f t="shared" si="15"/>
        <v>-710700083.33333337</v>
      </c>
      <c r="H19" s="23">
        <f t="shared" si="2"/>
        <v>15914788916.666666</v>
      </c>
      <c r="I19" s="23">
        <f t="shared" si="3"/>
        <v>15204088833.333334</v>
      </c>
      <c r="J19" s="23">
        <f t="shared" si="4"/>
        <v>14493388750</v>
      </c>
      <c r="K19" s="23">
        <f t="shared" si="5"/>
        <v>13782688666.666666</v>
      </c>
      <c r="L19" s="23">
        <f t="shared" si="6"/>
        <v>13071988583.333332</v>
      </c>
      <c r="M19" s="23">
        <f t="shared" si="7"/>
        <v>12361288500</v>
      </c>
      <c r="N19" s="23">
        <f t="shared" si="8"/>
        <v>11650588416.666666</v>
      </c>
      <c r="O19" s="23">
        <f t="shared" si="9"/>
        <v>10939888333.333332</v>
      </c>
      <c r="P19" s="23">
        <f t="shared" si="10"/>
        <v>10229188250</v>
      </c>
      <c r="Q19" s="23">
        <f t="shared" si="11"/>
        <v>9518488166.666666</v>
      </c>
      <c r="R19" s="23">
        <f t="shared" si="12"/>
        <v>8807788083.3333321</v>
      </c>
      <c r="S19" s="23">
        <f t="shared" si="13"/>
        <v>8097088000</v>
      </c>
      <c r="T19" s="23">
        <f t="shared" si="14"/>
        <v>0</v>
      </c>
    </row>
    <row r="20" spans="1:20" x14ac:dyDescent="0.3">
      <c r="A20" s="3" t="s">
        <v>26</v>
      </c>
      <c r="B20" s="6">
        <v>2021</v>
      </c>
      <c r="C20" s="4" t="s">
        <v>29</v>
      </c>
      <c r="D20" s="18">
        <v>16625489000</v>
      </c>
      <c r="E20" s="23">
        <f t="shared" si="0"/>
        <v>15070099000</v>
      </c>
      <c r="F20" s="23">
        <f t="shared" si="1"/>
        <v>1555390000</v>
      </c>
      <c r="G20" s="23">
        <f t="shared" si="15"/>
        <v>129615833.33333333</v>
      </c>
      <c r="H20" s="23">
        <f t="shared" si="2"/>
        <v>15199714833.333334</v>
      </c>
      <c r="I20" s="23">
        <f t="shared" si="3"/>
        <v>15329330666.666666</v>
      </c>
      <c r="J20" s="23">
        <f t="shared" si="4"/>
        <v>15458946500</v>
      </c>
      <c r="K20" s="23">
        <f t="shared" si="5"/>
        <v>15588562333.333334</v>
      </c>
      <c r="L20" s="23">
        <f t="shared" si="6"/>
        <v>15718178166.666666</v>
      </c>
      <c r="M20" s="23">
        <f t="shared" si="7"/>
        <v>15847794000</v>
      </c>
      <c r="N20" s="23">
        <f t="shared" si="8"/>
        <v>15977409833.333334</v>
      </c>
      <c r="O20" s="23">
        <f t="shared" si="9"/>
        <v>16107025666.666666</v>
      </c>
      <c r="P20" s="23">
        <f t="shared" si="10"/>
        <v>16236641500</v>
      </c>
      <c r="Q20" s="23">
        <f t="shared" si="11"/>
        <v>16366257333.333334</v>
      </c>
      <c r="R20" s="23">
        <f t="shared" si="12"/>
        <v>16495873166.666666</v>
      </c>
      <c r="S20" s="23">
        <f t="shared" si="13"/>
        <v>16625489000</v>
      </c>
      <c r="T20" s="23">
        <f t="shared" si="14"/>
        <v>0</v>
      </c>
    </row>
    <row r="21" spans="1:20" x14ac:dyDescent="0.3">
      <c r="A21" s="3" t="s">
        <v>26</v>
      </c>
      <c r="B21" s="6">
        <v>2020</v>
      </c>
      <c r="C21" s="4" t="s">
        <v>30</v>
      </c>
      <c r="D21" s="18">
        <v>15070099000</v>
      </c>
      <c r="E21" s="23">
        <f t="shared" si="0"/>
        <v>13258765000</v>
      </c>
      <c r="F21" s="23">
        <f t="shared" si="1"/>
        <v>1811334000</v>
      </c>
      <c r="G21" s="23">
        <f t="shared" si="15"/>
        <v>150944500</v>
      </c>
      <c r="H21" s="23">
        <f t="shared" si="2"/>
        <v>13409709500</v>
      </c>
      <c r="I21" s="23">
        <f t="shared" si="3"/>
        <v>13560654000</v>
      </c>
      <c r="J21" s="23">
        <f t="shared" si="4"/>
        <v>13711598500</v>
      </c>
      <c r="K21" s="23">
        <f t="shared" si="5"/>
        <v>13862543000</v>
      </c>
      <c r="L21" s="23">
        <f t="shared" si="6"/>
        <v>14013487500</v>
      </c>
      <c r="M21" s="23">
        <f t="shared" si="7"/>
        <v>14164432000</v>
      </c>
      <c r="N21" s="23">
        <f t="shared" si="8"/>
        <v>14315376500</v>
      </c>
      <c r="O21" s="23">
        <f t="shared" si="9"/>
        <v>14466321000</v>
      </c>
      <c r="P21" s="23">
        <f t="shared" si="10"/>
        <v>14617265500</v>
      </c>
      <c r="Q21" s="23">
        <f t="shared" si="11"/>
        <v>14768210000</v>
      </c>
      <c r="R21" s="23">
        <f t="shared" si="12"/>
        <v>14919154500</v>
      </c>
      <c r="S21" s="23">
        <f t="shared" si="13"/>
        <v>15070099000</v>
      </c>
      <c r="T21" s="23">
        <f t="shared" si="14"/>
        <v>0</v>
      </c>
    </row>
    <row r="22" spans="1:20" x14ac:dyDescent="0.3">
      <c r="A22" s="3" t="s">
        <v>26</v>
      </c>
      <c r="B22" s="6">
        <v>2019</v>
      </c>
      <c r="C22" s="4" t="s">
        <v>31</v>
      </c>
      <c r="D22" s="5">
        <v>13258765000</v>
      </c>
      <c r="E22" s="23">
        <f t="shared" si="0"/>
        <v>10563106000</v>
      </c>
      <c r="F22" s="23">
        <f t="shared" si="1"/>
        <v>2695659000</v>
      </c>
      <c r="G22" s="23">
        <f t="shared" si="15"/>
        <v>224638250</v>
      </c>
      <c r="H22" s="23">
        <f t="shared" si="2"/>
        <v>10787744250</v>
      </c>
      <c r="I22" s="23">
        <f t="shared" si="3"/>
        <v>11012382500</v>
      </c>
      <c r="J22" s="23">
        <f t="shared" si="4"/>
        <v>11237020750</v>
      </c>
      <c r="K22" s="23">
        <f t="shared" si="5"/>
        <v>11461659000</v>
      </c>
      <c r="L22" s="23">
        <f t="shared" si="6"/>
        <v>11686297250</v>
      </c>
      <c r="M22" s="23">
        <f t="shared" si="7"/>
        <v>11910935500</v>
      </c>
      <c r="N22" s="23">
        <f t="shared" si="8"/>
        <v>12135573750</v>
      </c>
      <c r="O22" s="23">
        <f t="shared" si="9"/>
        <v>12360212000</v>
      </c>
      <c r="P22" s="23">
        <f t="shared" si="10"/>
        <v>12584850250</v>
      </c>
      <c r="Q22" s="23">
        <f t="shared" si="11"/>
        <v>12809488500</v>
      </c>
      <c r="R22" s="23">
        <f t="shared" si="12"/>
        <v>13034126750</v>
      </c>
      <c r="S22" s="23">
        <f t="shared" si="13"/>
        <v>13258765000</v>
      </c>
      <c r="T22" s="23">
        <f t="shared" si="14"/>
        <v>0</v>
      </c>
    </row>
    <row r="23" spans="1:20" x14ac:dyDescent="0.3">
      <c r="A23" s="3" t="s">
        <v>26</v>
      </c>
      <c r="B23" s="6">
        <v>2018</v>
      </c>
      <c r="C23" s="4" t="s">
        <v>32</v>
      </c>
      <c r="D23" s="18">
        <v>10563106000</v>
      </c>
      <c r="E23" s="23">
        <f t="shared" si="0"/>
        <v>10503166000</v>
      </c>
      <c r="F23" s="23">
        <f t="shared" si="1"/>
        <v>59940000</v>
      </c>
      <c r="G23" s="23">
        <f t="shared" si="15"/>
        <v>4995000</v>
      </c>
      <c r="H23" s="23">
        <f t="shared" si="2"/>
        <v>10508161000</v>
      </c>
      <c r="I23" s="23">
        <f t="shared" si="3"/>
        <v>10513156000</v>
      </c>
      <c r="J23" s="23">
        <f t="shared" si="4"/>
        <v>10518151000</v>
      </c>
      <c r="K23" s="23">
        <f t="shared" si="5"/>
        <v>10523146000</v>
      </c>
      <c r="L23" s="23">
        <f t="shared" si="6"/>
        <v>10528141000</v>
      </c>
      <c r="M23" s="23">
        <f t="shared" si="7"/>
        <v>10533136000</v>
      </c>
      <c r="N23" s="23">
        <f t="shared" si="8"/>
        <v>10538131000</v>
      </c>
      <c r="O23" s="23">
        <f t="shared" si="9"/>
        <v>10543126000</v>
      </c>
      <c r="P23" s="23">
        <f t="shared" si="10"/>
        <v>10548121000</v>
      </c>
      <c r="Q23" s="23">
        <f t="shared" si="11"/>
        <v>10553116000</v>
      </c>
      <c r="R23" s="23">
        <f t="shared" si="12"/>
        <v>10558111000</v>
      </c>
      <c r="S23" s="23">
        <f t="shared" si="13"/>
        <v>10563106000</v>
      </c>
      <c r="T23" s="23">
        <f t="shared" si="14"/>
        <v>0</v>
      </c>
    </row>
    <row r="24" spans="1:20" x14ac:dyDescent="0.3">
      <c r="A24" s="3" t="s">
        <v>26</v>
      </c>
      <c r="B24" s="6">
        <v>2017</v>
      </c>
      <c r="C24" s="4" t="s">
        <v>33</v>
      </c>
      <c r="D24" s="18">
        <v>10503166000</v>
      </c>
      <c r="E24" s="23">
        <f t="shared" si="0"/>
        <v>9560108000</v>
      </c>
      <c r="F24" s="23">
        <f t="shared" si="1"/>
        <v>943058000</v>
      </c>
      <c r="G24" s="23">
        <f t="shared" si="15"/>
        <v>78588166.666666672</v>
      </c>
      <c r="H24" s="23">
        <f t="shared" si="2"/>
        <v>9638696166.666666</v>
      </c>
      <c r="I24" s="23">
        <f t="shared" si="3"/>
        <v>9717284333.333334</v>
      </c>
      <c r="J24" s="23">
        <f t="shared" si="4"/>
        <v>9795872500</v>
      </c>
      <c r="K24" s="23">
        <f t="shared" si="5"/>
        <v>9874460666.666666</v>
      </c>
      <c r="L24" s="23">
        <f t="shared" si="6"/>
        <v>9953048833.333334</v>
      </c>
      <c r="M24" s="23">
        <f t="shared" si="7"/>
        <v>10031637000</v>
      </c>
      <c r="N24" s="23">
        <f t="shared" si="8"/>
        <v>10110225166.666666</v>
      </c>
      <c r="O24" s="23">
        <f t="shared" si="9"/>
        <v>10188813333.333334</v>
      </c>
      <c r="P24" s="23">
        <f t="shared" si="10"/>
        <v>10267401500</v>
      </c>
      <c r="Q24" s="23">
        <f t="shared" si="11"/>
        <v>10345989666.666666</v>
      </c>
      <c r="R24" s="23">
        <f t="shared" si="12"/>
        <v>10424577833.333334</v>
      </c>
      <c r="S24" s="23">
        <f t="shared" si="13"/>
        <v>10503166000</v>
      </c>
      <c r="T24" s="23">
        <f t="shared" si="14"/>
        <v>0</v>
      </c>
    </row>
    <row r="25" spans="1:20" x14ac:dyDescent="0.3">
      <c r="A25" s="3" t="s">
        <v>26</v>
      </c>
      <c r="B25" s="6">
        <v>2016</v>
      </c>
      <c r="C25" s="4" t="s">
        <v>34</v>
      </c>
      <c r="D25" s="5">
        <v>9560108000</v>
      </c>
      <c r="E25" s="23"/>
      <c r="F25" s="23"/>
      <c r="G25" s="23">
        <f t="shared" si="15"/>
        <v>0</v>
      </c>
      <c r="H25" s="23">
        <f t="shared" si="2"/>
        <v>0</v>
      </c>
      <c r="I25" s="23">
        <f t="shared" si="3"/>
        <v>0</v>
      </c>
      <c r="J25" s="23">
        <f t="shared" si="4"/>
        <v>0</v>
      </c>
      <c r="K25" s="23">
        <f t="shared" si="5"/>
        <v>0</v>
      </c>
      <c r="L25" s="23">
        <f t="shared" si="6"/>
        <v>0</v>
      </c>
      <c r="M25" s="23">
        <f t="shared" si="7"/>
        <v>0</v>
      </c>
      <c r="N25" s="23">
        <f t="shared" si="8"/>
        <v>0</v>
      </c>
      <c r="O25" s="23">
        <f t="shared" si="9"/>
        <v>0</v>
      </c>
      <c r="P25" s="23">
        <f t="shared" si="10"/>
        <v>0</v>
      </c>
      <c r="Q25" s="23">
        <f t="shared" si="11"/>
        <v>0</v>
      </c>
      <c r="R25" s="23">
        <f t="shared" si="12"/>
        <v>0</v>
      </c>
      <c r="S25" s="23">
        <f t="shared" si="13"/>
        <v>0</v>
      </c>
      <c r="T25" s="23"/>
    </row>
    <row r="26" spans="1:20" x14ac:dyDescent="0.3">
      <c r="A26" s="3" t="s">
        <v>35</v>
      </c>
      <c r="B26" s="3">
        <v>2023</v>
      </c>
      <c r="C26" s="19" t="s">
        <v>119</v>
      </c>
      <c r="D26" s="18">
        <v>5438885000</v>
      </c>
      <c r="E26" s="23">
        <f t="shared" si="0"/>
        <v>4630186000</v>
      </c>
      <c r="F26" s="23">
        <f t="shared" si="1"/>
        <v>808699000</v>
      </c>
      <c r="G26" s="23">
        <f t="shared" si="15"/>
        <v>67391583.333333328</v>
      </c>
      <c r="H26" s="23">
        <f t="shared" si="2"/>
        <v>4697577583.333333</v>
      </c>
      <c r="I26" s="23">
        <f t="shared" si="3"/>
        <v>4764969166.666667</v>
      </c>
      <c r="J26" s="23">
        <f t="shared" si="4"/>
        <v>4832360750</v>
      </c>
      <c r="K26" s="23">
        <f t="shared" si="5"/>
        <v>4899752333.333333</v>
      </c>
      <c r="L26" s="23">
        <f t="shared" si="6"/>
        <v>4967143916.666667</v>
      </c>
      <c r="M26" s="23">
        <f t="shared" si="7"/>
        <v>5034535500</v>
      </c>
      <c r="N26" s="23">
        <f t="shared" si="8"/>
        <v>5101927083.333333</v>
      </c>
      <c r="O26" s="23">
        <f t="shared" si="9"/>
        <v>5169318666.666667</v>
      </c>
      <c r="P26" s="23">
        <f t="shared" si="10"/>
        <v>5236710250</v>
      </c>
      <c r="Q26" s="23">
        <f t="shared" si="11"/>
        <v>5304101833.333333</v>
      </c>
      <c r="R26" s="23">
        <f t="shared" si="12"/>
        <v>5371493416.666667</v>
      </c>
      <c r="S26" s="23">
        <f t="shared" si="13"/>
        <v>5438885000</v>
      </c>
      <c r="T26" s="23">
        <f t="shared" si="14"/>
        <v>0</v>
      </c>
    </row>
    <row r="27" spans="1:20" x14ac:dyDescent="0.3">
      <c r="A27" s="3" t="s">
        <v>35</v>
      </c>
      <c r="B27" s="3">
        <v>2022</v>
      </c>
      <c r="C27" s="1" t="s">
        <v>84</v>
      </c>
      <c r="D27" s="18">
        <v>4630186000</v>
      </c>
      <c r="E27" s="23">
        <f t="shared" si="0"/>
        <v>6207500000</v>
      </c>
      <c r="F27" s="23">
        <f t="shared" si="1"/>
        <v>-1577314000</v>
      </c>
      <c r="G27" s="23">
        <f t="shared" si="15"/>
        <v>-131442833.33333333</v>
      </c>
      <c r="H27" s="23">
        <f t="shared" si="2"/>
        <v>6076057166.666667</v>
      </c>
      <c r="I27" s="23">
        <f t="shared" si="3"/>
        <v>5944614333.333333</v>
      </c>
      <c r="J27" s="23">
        <f t="shared" si="4"/>
        <v>5813171500</v>
      </c>
      <c r="K27" s="23">
        <f t="shared" si="5"/>
        <v>5681728666.666667</v>
      </c>
      <c r="L27" s="23">
        <f t="shared" si="6"/>
        <v>5550285833.333333</v>
      </c>
      <c r="M27" s="23">
        <f t="shared" si="7"/>
        <v>5418843000</v>
      </c>
      <c r="N27" s="23">
        <f t="shared" si="8"/>
        <v>5287400166.666667</v>
      </c>
      <c r="O27" s="23">
        <f t="shared" si="9"/>
        <v>5155957333.333333</v>
      </c>
      <c r="P27" s="23">
        <f t="shared" si="10"/>
        <v>5024514500</v>
      </c>
      <c r="Q27" s="23">
        <f t="shared" si="11"/>
        <v>4893071666.666667</v>
      </c>
      <c r="R27" s="23">
        <f t="shared" si="12"/>
        <v>4761628833.333334</v>
      </c>
      <c r="S27" s="23">
        <f t="shared" si="13"/>
        <v>4630186000</v>
      </c>
      <c r="T27" s="23">
        <f t="shared" si="14"/>
        <v>0</v>
      </c>
    </row>
    <row r="28" spans="1:20" x14ac:dyDescent="0.3">
      <c r="A28" s="3" t="s">
        <v>35</v>
      </c>
      <c r="B28" s="3">
        <v>2021</v>
      </c>
      <c r="C28" s="4" t="s">
        <v>85</v>
      </c>
      <c r="D28" s="5">
        <v>6207500000</v>
      </c>
      <c r="E28" s="23">
        <f t="shared" si="0"/>
        <v>7001036000</v>
      </c>
      <c r="F28" s="23">
        <f t="shared" si="1"/>
        <v>-793536000</v>
      </c>
      <c r="G28" s="23">
        <f t="shared" si="15"/>
        <v>-66128000</v>
      </c>
      <c r="H28" s="23">
        <f t="shared" si="2"/>
        <v>6934908000</v>
      </c>
      <c r="I28" s="23">
        <f t="shared" si="3"/>
        <v>6868780000</v>
      </c>
      <c r="J28" s="23">
        <f t="shared" si="4"/>
        <v>6802652000</v>
      </c>
      <c r="K28" s="23">
        <f t="shared" si="5"/>
        <v>6736524000</v>
      </c>
      <c r="L28" s="23">
        <f t="shared" si="6"/>
        <v>6670396000</v>
      </c>
      <c r="M28" s="23">
        <f t="shared" si="7"/>
        <v>6604268000</v>
      </c>
      <c r="N28" s="23">
        <f t="shared" si="8"/>
        <v>6538140000</v>
      </c>
      <c r="O28" s="23">
        <f t="shared" si="9"/>
        <v>6472012000</v>
      </c>
      <c r="P28" s="23">
        <f t="shared" si="10"/>
        <v>6405884000</v>
      </c>
      <c r="Q28" s="23">
        <f t="shared" si="11"/>
        <v>6339756000</v>
      </c>
      <c r="R28" s="23">
        <f t="shared" si="12"/>
        <v>6273628000</v>
      </c>
      <c r="S28" s="23">
        <f t="shared" si="13"/>
        <v>6207500000</v>
      </c>
      <c r="T28" s="23">
        <f t="shared" si="14"/>
        <v>0</v>
      </c>
    </row>
    <row r="29" spans="1:20" x14ac:dyDescent="0.3">
      <c r="A29" s="3" t="s">
        <v>35</v>
      </c>
      <c r="B29" s="3">
        <v>2020</v>
      </c>
      <c r="C29" s="4" t="s">
        <v>86</v>
      </c>
      <c r="D29" s="5">
        <v>7001036000</v>
      </c>
      <c r="E29" s="23">
        <f t="shared" si="0"/>
        <v>6693961000</v>
      </c>
      <c r="F29" s="23">
        <f t="shared" si="1"/>
        <v>307075000</v>
      </c>
      <c r="G29" s="23">
        <f t="shared" si="15"/>
        <v>25589583.333333332</v>
      </c>
      <c r="H29" s="23">
        <f t="shared" si="2"/>
        <v>6719550583.333333</v>
      </c>
      <c r="I29" s="23">
        <f t="shared" si="3"/>
        <v>6745140166.666667</v>
      </c>
      <c r="J29" s="23">
        <f t="shared" si="4"/>
        <v>6770729750</v>
      </c>
      <c r="K29" s="23">
        <f t="shared" si="5"/>
        <v>6796319333.333333</v>
      </c>
      <c r="L29" s="23">
        <f t="shared" si="6"/>
        <v>6821908916.666667</v>
      </c>
      <c r="M29" s="23">
        <f t="shared" si="7"/>
        <v>6847498500</v>
      </c>
      <c r="N29" s="23">
        <f t="shared" si="8"/>
        <v>6873088083.333333</v>
      </c>
      <c r="O29" s="23">
        <f t="shared" si="9"/>
        <v>6898677666.666667</v>
      </c>
      <c r="P29" s="23">
        <f t="shared" si="10"/>
        <v>6924267250</v>
      </c>
      <c r="Q29" s="23">
        <f t="shared" si="11"/>
        <v>6949856833.333333</v>
      </c>
      <c r="R29" s="23">
        <f t="shared" si="12"/>
        <v>6975446416.666667</v>
      </c>
      <c r="S29" s="23">
        <f t="shared" si="13"/>
        <v>7001036000</v>
      </c>
      <c r="T29" s="23">
        <f t="shared" si="14"/>
        <v>0</v>
      </c>
    </row>
    <row r="30" spans="1:20" x14ac:dyDescent="0.3">
      <c r="A30" s="3" t="s">
        <v>35</v>
      </c>
      <c r="B30" s="3">
        <v>2019</v>
      </c>
      <c r="C30" s="4" t="s">
        <v>87</v>
      </c>
      <c r="D30" s="5">
        <v>6693961000</v>
      </c>
      <c r="E30" s="23">
        <f t="shared" si="0"/>
        <v>5356850000</v>
      </c>
      <c r="F30" s="23">
        <f t="shared" si="1"/>
        <v>1337111000</v>
      </c>
      <c r="G30" s="23">
        <f t="shared" si="15"/>
        <v>111425916.66666667</v>
      </c>
      <c r="H30" s="23">
        <f t="shared" si="2"/>
        <v>5468275916.666667</v>
      </c>
      <c r="I30" s="23">
        <f t="shared" si="3"/>
        <v>5579701833.333333</v>
      </c>
      <c r="J30" s="23">
        <f t="shared" si="4"/>
        <v>5691127750</v>
      </c>
      <c r="K30" s="23">
        <f t="shared" si="5"/>
        <v>5802553666.666667</v>
      </c>
      <c r="L30" s="23">
        <f t="shared" si="6"/>
        <v>5913979583.333333</v>
      </c>
      <c r="M30" s="23">
        <f t="shared" si="7"/>
        <v>6025405500</v>
      </c>
      <c r="N30" s="23">
        <f t="shared" si="8"/>
        <v>6136831416.666667</v>
      </c>
      <c r="O30" s="23">
        <f t="shared" si="9"/>
        <v>6248257333.333333</v>
      </c>
      <c r="P30" s="23">
        <f t="shared" si="10"/>
        <v>6359683250</v>
      </c>
      <c r="Q30" s="23">
        <f t="shared" si="11"/>
        <v>6471109166.666667</v>
      </c>
      <c r="R30" s="23">
        <f t="shared" si="12"/>
        <v>6582535083.333334</v>
      </c>
      <c r="S30" s="23">
        <f t="shared" si="13"/>
        <v>6693961000</v>
      </c>
      <c r="T30" s="23">
        <f t="shared" si="14"/>
        <v>0</v>
      </c>
    </row>
    <row r="31" spans="1:20" x14ac:dyDescent="0.3">
      <c r="A31" s="3" t="s">
        <v>35</v>
      </c>
      <c r="B31" s="3">
        <v>2018</v>
      </c>
      <c r="C31" s="4" t="s">
        <v>88</v>
      </c>
      <c r="D31" s="18">
        <v>5356850000</v>
      </c>
      <c r="E31" s="23">
        <f t="shared" si="0"/>
        <v>5894416000</v>
      </c>
      <c r="F31" s="23">
        <f t="shared" si="1"/>
        <v>-537566000</v>
      </c>
      <c r="G31" s="23">
        <f t="shared" si="15"/>
        <v>-44797166.666666664</v>
      </c>
      <c r="H31" s="23">
        <f t="shared" si="2"/>
        <v>5849618833.333333</v>
      </c>
      <c r="I31" s="23">
        <f t="shared" si="3"/>
        <v>5804821666.666667</v>
      </c>
      <c r="J31" s="23">
        <f t="shared" si="4"/>
        <v>5760024500</v>
      </c>
      <c r="K31" s="23">
        <f t="shared" si="5"/>
        <v>5715227333.333333</v>
      </c>
      <c r="L31" s="23">
        <f t="shared" si="6"/>
        <v>5670430166.666667</v>
      </c>
      <c r="M31" s="23">
        <f t="shared" si="7"/>
        <v>5625633000</v>
      </c>
      <c r="N31" s="23">
        <f t="shared" si="8"/>
        <v>5580835833.333333</v>
      </c>
      <c r="O31" s="23">
        <f t="shared" si="9"/>
        <v>5536038666.666667</v>
      </c>
      <c r="P31" s="23">
        <f t="shared" si="10"/>
        <v>5491241500</v>
      </c>
      <c r="Q31" s="23">
        <f t="shared" si="11"/>
        <v>5446444333.333333</v>
      </c>
      <c r="R31" s="23">
        <f t="shared" si="12"/>
        <v>5401647166.666667</v>
      </c>
      <c r="S31" s="23">
        <f t="shared" si="13"/>
        <v>5356850000</v>
      </c>
      <c r="T31" s="23">
        <f t="shared" si="14"/>
        <v>0</v>
      </c>
    </row>
    <row r="32" spans="1:20" x14ac:dyDescent="0.3">
      <c r="A32" s="3" t="s">
        <v>35</v>
      </c>
      <c r="B32" s="3">
        <v>2017</v>
      </c>
      <c r="C32" s="4" t="s">
        <v>89</v>
      </c>
      <c r="D32" s="18">
        <v>5894416000</v>
      </c>
      <c r="E32" s="23">
        <f t="shared" si="0"/>
        <v>6535908000</v>
      </c>
      <c r="F32" s="23">
        <f t="shared" si="1"/>
        <v>-641492000</v>
      </c>
      <c r="G32" s="23">
        <f t="shared" si="15"/>
        <v>-53457666.666666664</v>
      </c>
      <c r="H32" s="23">
        <f t="shared" si="2"/>
        <v>6482450333.333333</v>
      </c>
      <c r="I32" s="23">
        <f t="shared" si="3"/>
        <v>6428992666.666667</v>
      </c>
      <c r="J32" s="23">
        <f t="shared" si="4"/>
        <v>6375535000</v>
      </c>
      <c r="K32" s="23">
        <f t="shared" si="5"/>
        <v>6322077333.333333</v>
      </c>
      <c r="L32" s="23">
        <f t="shared" si="6"/>
        <v>6268619666.666667</v>
      </c>
      <c r="M32" s="23">
        <f t="shared" si="7"/>
        <v>6215162000</v>
      </c>
      <c r="N32" s="23">
        <f t="shared" si="8"/>
        <v>6161704333.333333</v>
      </c>
      <c r="O32" s="23">
        <f t="shared" si="9"/>
        <v>6108246666.666667</v>
      </c>
      <c r="P32" s="23">
        <f t="shared" si="10"/>
        <v>6054789000</v>
      </c>
      <c r="Q32" s="23">
        <f t="shared" si="11"/>
        <v>6001331333.333333</v>
      </c>
      <c r="R32" s="23">
        <f t="shared" si="12"/>
        <v>5947873666.666667</v>
      </c>
      <c r="S32" s="23">
        <f t="shared" si="13"/>
        <v>5894416000</v>
      </c>
      <c r="T32" s="23">
        <f t="shared" si="14"/>
        <v>0</v>
      </c>
    </row>
    <row r="33" spans="1:20" x14ac:dyDescent="0.3">
      <c r="A33" s="3" t="s">
        <v>35</v>
      </c>
      <c r="B33" s="3">
        <v>2016</v>
      </c>
      <c r="C33" s="4" t="s">
        <v>90</v>
      </c>
      <c r="D33" s="18">
        <v>6535908000</v>
      </c>
      <c r="E33" s="23"/>
      <c r="F33" s="23"/>
      <c r="G33" s="23">
        <f t="shared" si="15"/>
        <v>0</v>
      </c>
      <c r="H33" s="23">
        <f t="shared" si="2"/>
        <v>0</v>
      </c>
      <c r="I33" s="23">
        <f t="shared" si="3"/>
        <v>0</v>
      </c>
      <c r="J33" s="23">
        <f t="shared" si="4"/>
        <v>0</v>
      </c>
      <c r="K33" s="23">
        <f t="shared" si="5"/>
        <v>0</v>
      </c>
      <c r="L33" s="23">
        <f t="shared" si="6"/>
        <v>0</v>
      </c>
      <c r="M33" s="23">
        <f t="shared" si="7"/>
        <v>0</v>
      </c>
      <c r="N33" s="23">
        <f t="shared" si="8"/>
        <v>0</v>
      </c>
      <c r="O33" s="23">
        <f t="shared" si="9"/>
        <v>0</v>
      </c>
      <c r="P33" s="23">
        <f t="shared" si="10"/>
        <v>0</v>
      </c>
      <c r="Q33" s="23">
        <f t="shared" si="11"/>
        <v>0</v>
      </c>
      <c r="R33" s="23">
        <f t="shared" si="12"/>
        <v>0</v>
      </c>
      <c r="S33" s="23">
        <f t="shared" si="13"/>
        <v>0</v>
      </c>
      <c r="T33" s="23"/>
    </row>
    <row r="34" spans="1:20" x14ac:dyDescent="0.3">
      <c r="A34" s="3" t="s">
        <v>37</v>
      </c>
      <c r="B34" s="3">
        <v>2023</v>
      </c>
      <c r="C34" s="4" t="s">
        <v>38</v>
      </c>
      <c r="D34" s="18">
        <v>3336221000</v>
      </c>
      <c r="E34" s="23">
        <f t="shared" si="0"/>
        <v>2425682000</v>
      </c>
      <c r="F34" s="23">
        <f t="shared" si="1"/>
        <v>910539000</v>
      </c>
      <c r="G34" s="23">
        <f t="shared" si="15"/>
        <v>75878250</v>
      </c>
      <c r="H34" s="23">
        <f t="shared" si="2"/>
        <v>2501560250</v>
      </c>
      <c r="I34" s="23">
        <f t="shared" si="3"/>
        <v>2577438500</v>
      </c>
      <c r="J34" s="23">
        <f t="shared" si="4"/>
        <v>2653316750</v>
      </c>
      <c r="K34" s="23">
        <f t="shared" si="5"/>
        <v>2729195000</v>
      </c>
      <c r="L34" s="23">
        <f t="shared" si="6"/>
        <v>2805073250</v>
      </c>
      <c r="M34" s="23">
        <f t="shared" si="7"/>
        <v>2880951500</v>
      </c>
      <c r="N34" s="23">
        <f t="shared" si="8"/>
        <v>2956829750</v>
      </c>
      <c r="O34" s="23">
        <f t="shared" si="9"/>
        <v>3032708000</v>
      </c>
      <c r="P34" s="23">
        <f t="shared" si="10"/>
        <v>3108586250</v>
      </c>
      <c r="Q34" s="23">
        <f t="shared" si="11"/>
        <v>3184464500</v>
      </c>
      <c r="R34" s="23">
        <f t="shared" si="12"/>
        <v>3260342750</v>
      </c>
      <c r="S34" s="23">
        <f t="shared" si="13"/>
        <v>3336221000</v>
      </c>
      <c r="T34" s="23">
        <f t="shared" si="14"/>
        <v>0</v>
      </c>
    </row>
    <row r="35" spans="1:20" x14ac:dyDescent="0.3">
      <c r="A35" s="3" t="s">
        <v>37</v>
      </c>
      <c r="B35" s="3">
        <v>2022</v>
      </c>
      <c r="C35" s="4" t="s">
        <v>39</v>
      </c>
      <c r="D35" s="18">
        <v>2425682000</v>
      </c>
      <c r="E35" s="23">
        <f t="shared" si="0"/>
        <v>2114450000</v>
      </c>
      <c r="F35" s="23">
        <f t="shared" si="1"/>
        <v>311232000</v>
      </c>
      <c r="G35" s="23">
        <f t="shared" si="15"/>
        <v>25936000</v>
      </c>
      <c r="H35" s="23">
        <f t="shared" si="2"/>
        <v>2140386000</v>
      </c>
      <c r="I35" s="23">
        <f t="shared" si="3"/>
        <v>2166322000</v>
      </c>
      <c r="J35" s="23">
        <f t="shared" si="4"/>
        <v>2192258000</v>
      </c>
      <c r="K35" s="23">
        <f t="shared" si="5"/>
        <v>2218194000</v>
      </c>
      <c r="L35" s="23">
        <f t="shared" si="6"/>
        <v>2244130000</v>
      </c>
      <c r="M35" s="23">
        <f t="shared" si="7"/>
        <v>2270066000</v>
      </c>
      <c r="N35" s="23">
        <f t="shared" si="8"/>
        <v>2296002000</v>
      </c>
      <c r="O35" s="23">
        <f t="shared" si="9"/>
        <v>2321938000</v>
      </c>
      <c r="P35" s="23">
        <f t="shared" si="10"/>
        <v>2347874000</v>
      </c>
      <c r="Q35" s="23">
        <f t="shared" si="11"/>
        <v>2373810000</v>
      </c>
      <c r="R35" s="23">
        <f t="shared" si="12"/>
        <v>2399746000</v>
      </c>
      <c r="S35" s="23">
        <f t="shared" si="13"/>
        <v>2425682000</v>
      </c>
      <c r="T35" s="23">
        <f t="shared" si="14"/>
        <v>0</v>
      </c>
    </row>
    <row r="36" spans="1:20" x14ac:dyDescent="0.3">
      <c r="A36" s="3" t="s">
        <v>37</v>
      </c>
      <c r="B36" s="3">
        <v>2021</v>
      </c>
      <c r="C36" s="4" t="s">
        <v>40</v>
      </c>
      <c r="D36" s="5">
        <v>2114450000</v>
      </c>
      <c r="E36" s="23">
        <f t="shared" si="0"/>
        <v>1452664000</v>
      </c>
      <c r="F36" s="23">
        <f t="shared" si="1"/>
        <v>661786000</v>
      </c>
      <c r="G36" s="23">
        <f t="shared" si="15"/>
        <v>55148833.333333336</v>
      </c>
      <c r="H36" s="23">
        <f t="shared" si="2"/>
        <v>1507812833.3333333</v>
      </c>
      <c r="I36" s="23">
        <f t="shared" si="3"/>
        <v>1562961666.6666667</v>
      </c>
      <c r="J36" s="23">
        <f t="shared" si="4"/>
        <v>1618110500</v>
      </c>
      <c r="K36" s="23">
        <f t="shared" si="5"/>
        <v>1673259333.3333333</v>
      </c>
      <c r="L36" s="23">
        <f t="shared" si="6"/>
        <v>1728408166.6666667</v>
      </c>
      <c r="M36" s="23">
        <f t="shared" si="7"/>
        <v>1783557000</v>
      </c>
      <c r="N36" s="23">
        <f t="shared" si="8"/>
        <v>1838705833.3333335</v>
      </c>
      <c r="O36" s="23">
        <f t="shared" si="9"/>
        <v>1893854666.6666667</v>
      </c>
      <c r="P36" s="23">
        <f t="shared" si="10"/>
        <v>1949003500</v>
      </c>
      <c r="Q36" s="23">
        <f t="shared" si="11"/>
        <v>2004152333.3333335</v>
      </c>
      <c r="R36" s="23">
        <f t="shared" si="12"/>
        <v>2059301166.6666667</v>
      </c>
      <c r="S36" s="23">
        <f t="shared" si="13"/>
        <v>2114450000</v>
      </c>
      <c r="T36" s="23">
        <f t="shared" si="14"/>
        <v>0</v>
      </c>
    </row>
    <row r="37" spans="1:20" x14ac:dyDescent="0.3">
      <c r="A37" s="3" t="s">
        <v>37</v>
      </c>
      <c r="B37" s="3">
        <v>2020</v>
      </c>
      <c r="C37" s="4" t="s">
        <v>41</v>
      </c>
      <c r="D37" s="5">
        <v>1452664000</v>
      </c>
      <c r="E37" s="23">
        <f t="shared" si="0"/>
        <v>1184093000</v>
      </c>
      <c r="F37" s="23">
        <f t="shared" si="1"/>
        <v>268571000</v>
      </c>
      <c r="G37" s="23">
        <f t="shared" si="15"/>
        <v>22380916.666666668</v>
      </c>
      <c r="H37" s="23">
        <f t="shared" si="2"/>
        <v>1206473916.6666667</v>
      </c>
      <c r="I37" s="23">
        <f t="shared" si="3"/>
        <v>1228854833.3333333</v>
      </c>
      <c r="J37" s="23">
        <f t="shared" si="4"/>
        <v>1251235750</v>
      </c>
      <c r="K37" s="23">
        <f t="shared" si="5"/>
        <v>1273616666.6666667</v>
      </c>
      <c r="L37" s="23">
        <f t="shared" si="6"/>
        <v>1295997583.3333333</v>
      </c>
      <c r="M37" s="23">
        <f t="shared" si="7"/>
        <v>1318378500</v>
      </c>
      <c r="N37" s="23">
        <f t="shared" si="8"/>
        <v>1340759416.6666667</v>
      </c>
      <c r="O37" s="23">
        <f t="shared" si="9"/>
        <v>1363140333.3333333</v>
      </c>
      <c r="P37" s="23">
        <f t="shared" si="10"/>
        <v>1385521250</v>
      </c>
      <c r="Q37" s="23">
        <f t="shared" si="11"/>
        <v>1407902166.6666667</v>
      </c>
      <c r="R37" s="23">
        <f t="shared" si="12"/>
        <v>1430283083.3333333</v>
      </c>
      <c r="S37" s="23">
        <f t="shared" si="13"/>
        <v>1452664000</v>
      </c>
      <c r="T37" s="23">
        <f t="shared" si="14"/>
        <v>0</v>
      </c>
    </row>
    <row r="38" spans="1:20" x14ac:dyDescent="0.3">
      <c r="A38" s="3" t="s">
        <v>37</v>
      </c>
      <c r="B38" s="3">
        <v>2019</v>
      </c>
      <c r="C38" s="4" t="s">
        <v>42</v>
      </c>
      <c r="D38" s="5">
        <v>1184093000</v>
      </c>
      <c r="E38" s="23">
        <f t="shared" si="0"/>
        <v>1044423000</v>
      </c>
      <c r="F38" s="23">
        <f t="shared" si="1"/>
        <v>139670000</v>
      </c>
      <c r="G38" s="23">
        <f t="shared" si="15"/>
        <v>11639166.666666666</v>
      </c>
      <c r="H38" s="23">
        <f t="shared" si="2"/>
        <v>1056062166.6666666</v>
      </c>
      <c r="I38" s="23">
        <f t="shared" si="3"/>
        <v>1067701333.3333334</v>
      </c>
      <c r="J38" s="23">
        <f t="shared" si="4"/>
        <v>1079340500</v>
      </c>
      <c r="K38" s="23">
        <f t="shared" si="5"/>
        <v>1090979666.6666667</v>
      </c>
      <c r="L38" s="23">
        <f t="shared" si="6"/>
        <v>1102618833.3333333</v>
      </c>
      <c r="M38" s="23">
        <f t="shared" si="7"/>
        <v>1114258000</v>
      </c>
      <c r="N38" s="23">
        <f t="shared" si="8"/>
        <v>1125897166.6666667</v>
      </c>
      <c r="O38" s="23">
        <f t="shared" si="9"/>
        <v>1137536333.3333333</v>
      </c>
      <c r="P38" s="23">
        <f t="shared" si="10"/>
        <v>1149175500</v>
      </c>
      <c r="Q38" s="23">
        <f t="shared" si="11"/>
        <v>1160814666.6666667</v>
      </c>
      <c r="R38" s="23">
        <f t="shared" si="12"/>
        <v>1172453833.3333333</v>
      </c>
      <c r="S38" s="23">
        <f t="shared" si="13"/>
        <v>1184093000</v>
      </c>
      <c r="T38" s="23">
        <f t="shared" si="14"/>
        <v>0</v>
      </c>
    </row>
    <row r="39" spans="1:20" x14ac:dyDescent="0.3">
      <c r="A39" s="3" t="s">
        <v>37</v>
      </c>
      <c r="B39" s="3">
        <v>2018</v>
      </c>
      <c r="C39" s="4" t="s">
        <v>43</v>
      </c>
      <c r="D39" s="5">
        <v>1044423000</v>
      </c>
      <c r="E39" s="23">
        <f t="shared" si="0"/>
        <v>1042159000</v>
      </c>
      <c r="F39" s="23">
        <f t="shared" si="1"/>
        <v>2264000</v>
      </c>
      <c r="G39" s="23">
        <f t="shared" si="15"/>
        <v>188666.66666666666</v>
      </c>
      <c r="H39" s="23">
        <f t="shared" si="2"/>
        <v>1042347666.6666666</v>
      </c>
      <c r="I39" s="23">
        <f t="shared" si="3"/>
        <v>1042536333.3333334</v>
      </c>
      <c r="J39" s="23">
        <f t="shared" si="4"/>
        <v>1042725000</v>
      </c>
      <c r="K39" s="23">
        <f t="shared" si="5"/>
        <v>1042913666.6666666</v>
      </c>
      <c r="L39" s="23">
        <f t="shared" si="6"/>
        <v>1043102333.3333334</v>
      </c>
      <c r="M39" s="23">
        <f t="shared" si="7"/>
        <v>1043291000</v>
      </c>
      <c r="N39" s="23">
        <f t="shared" si="8"/>
        <v>1043479666.6666666</v>
      </c>
      <c r="O39" s="23">
        <f t="shared" si="9"/>
        <v>1043668333.3333334</v>
      </c>
      <c r="P39" s="23">
        <f t="shared" si="10"/>
        <v>1043857000</v>
      </c>
      <c r="Q39" s="23">
        <f t="shared" si="11"/>
        <v>1044045666.6666666</v>
      </c>
      <c r="R39" s="23">
        <f t="shared" si="12"/>
        <v>1044234333.3333334</v>
      </c>
      <c r="S39" s="23">
        <f t="shared" si="13"/>
        <v>1044423000</v>
      </c>
      <c r="T39" s="23">
        <f t="shared" si="14"/>
        <v>0</v>
      </c>
    </row>
    <row r="40" spans="1:20" x14ac:dyDescent="0.3">
      <c r="A40" s="3" t="s">
        <v>37</v>
      </c>
      <c r="B40" s="3">
        <v>2017</v>
      </c>
      <c r="C40" s="4" t="s">
        <v>44</v>
      </c>
      <c r="D40" s="5">
        <v>1042159000</v>
      </c>
      <c r="E40" s="23">
        <f t="shared" si="0"/>
        <v>901127000</v>
      </c>
      <c r="F40" s="23">
        <f t="shared" si="1"/>
        <v>141032000</v>
      </c>
      <c r="G40" s="23">
        <f t="shared" si="15"/>
        <v>11752666.666666666</v>
      </c>
      <c r="H40" s="23">
        <f t="shared" si="2"/>
        <v>912879666.66666663</v>
      </c>
      <c r="I40" s="23">
        <f t="shared" si="3"/>
        <v>924632333.33333337</v>
      </c>
      <c r="J40" s="23">
        <f t="shared" si="4"/>
        <v>936385000</v>
      </c>
      <c r="K40" s="23">
        <f t="shared" si="5"/>
        <v>948137666.66666663</v>
      </c>
      <c r="L40" s="23">
        <f t="shared" si="6"/>
        <v>959890333.33333337</v>
      </c>
      <c r="M40" s="23">
        <f t="shared" si="7"/>
        <v>971643000</v>
      </c>
      <c r="N40" s="23">
        <f t="shared" si="8"/>
        <v>983395666.66666663</v>
      </c>
      <c r="O40" s="23">
        <f t="shared" si="9"/>
        <v>995148333.33333337</v>
      </c>
      <c r="P40" s="23">
        <f t="shared" si="10"/>
        <v>1006901000</v>
      </c>
      <c r="Q40" s="23">
        <f t="shared" si="11"/>
        <v>1018653666.6666666</v>
      </c>
      <c r="R40" s="23">
        <f t="shared" si="12"/>
        <v>1030406333.3333334</v>
      </c>
      <c r="S40" s="23">
        <f t="shared" si="13"/>
        <v>1042159000</v>
      </c>
      <c r="T40" s="23">
        <f t="shared" si="14"/>
        <v>0</v>
      </c>
    </row>
    <row r="41" spans="1:20" x14ac:dyDescent="0.3">
      <c r="A41" s="3" t="s">
        <v>37</v>
      </c>
      <c r="B41" s="3">
        <v>2016</v>
      </c>
      <c r="C41" s="4" t="s">
        <v>45</v>
      </c>
      <c r="D41" s="5">
        <v>901127000</v>
      </c>
      <c r="E41" s="23"/>
      <c r="F41" s="23"/>
      <c r="G41" s="23">
        <f t="shared" si="15"/>
        <v>0</v>
      </c>
      <c r="H41" s="23">
        <f t="shared" si="2"/>
        <v>0</v>
      </c>
      <c r="I41" s="23">
        <f t="shared" si="3"/>
        <v>0</v>
      </c>
      <c r="J41" s="23">
        <f t="shared" si="4"/>
        <v>0</v>
      </c>
      <c r="K41" s="23">
        <f t="shared" si="5"/>
        <v>0</v>
      </c>
      <c r="L41" s="23">
        <f t="shared" si="6"/>
        <v>0</v>
      </c>
      <c r="M41" s="23">
        <f t="shared" si="7"/>
        <v>0</v>
      </c>
      <c r="N41" s="23">
        <f t="shared" si="8"/>
        <v>0</v>
      </c>
      <c r="O41" s="23">
        <f t="shared" si="9"/>
        <v>0</v>
      </c>
      <c r="P41" s="23">
        <f t="shared" si="10"/>
        <v>0</v>
      </c>
      <c r="Q41" s="23">
        <f t="shared" si="11"/>
        <v>0</v>
      </c>
      <c r="R41" s="23">
        <f t="shared" si="12"/>
        <v>0</v>
      </c>
      <c r="S41" s="23">
        <f t="shared" si="13"/>
        <v>0</v>
      </c>
      <c r="T41" s="23"/>
    </row>
    <row r="42" spans="1:20" x14ac:dyDescent="0.3">
      <c r="A42" s="3" t="s">
        <v>46</v>
      </c>
      <c r="B42" s="3">
        <v>2023</v>
      </c>
      <c r="C42" s="4" t="s">
        <v>47</v>
      </c>
      <c r="D42" s="18">
        <v>3685145000</v>
      </c>
      <c r="E42" s="23">
        <f t="shared" si="0"/>
        <v>2785937000</v>
      </c>
      <c r="F42" s="23">
        <f t="shared" si="1"/>
        <v>899208000</v>
      </c>
      <c r="G42" s="23">
        <f t="shared" si="15"/>
        <v>74934000</v>
      </c>
      <c r="H42" s="23">
        <f t="shared" si="2"/>
        <v>2860871000</v>
      </c>
      <c r="I42" s="23">
        <f t="shared" si="3"/>
        <v>2935805000</v>
      </c>
      <c r="J42" s="23">
        <f t="shared" si="4"/>
        <v>3010739000</v>
      </c>
      <c r="K42" s="23">
        <f t="shared" si="5"/>
        <v>3085673000</v>
      </c>
      <c r="L42" s="23">
        <f t="shared" si="6"/>
        <v>3160607000</v>
      </c>
      <c r="M42" s="23">
        <f t="shared" si="7"/>
        <v>3235541000</v>
      </c>
      <c r="N42" s="23">
        <f t="shared" si="8"/>
        <v>3310475000</v>
      </c>
      <c r="O42" s="23">
        <f t="shared" si="9"/>
        <v>3385409000</v>
      </c>
      <c r="P42" s="23">
        <f t="shared" si="10"/>
        <v>3460343000</v>
      </c>
      <c r="Q42" s="23">
        <f t="shared" si="11"/>
        <v>3535277000</v>
      </c>
      <c r="R42" s="23">
        <f t="shared" si="12"/>
        <v>3610211000</v>
      </c>
      <c r="S42" s="23">
        <f t="shared" si="13"/>
        <v>3685145000</v>
      </c>
      <c r="T42" s="23">
        <f t="shared" si="14"/>
        <v>0</v>
      </c>
    </row>
    <row r="43" spans="1:20" x14ac:dyDescent="0.3">
      <c r="A43" s="3" t="s">
        <v>46</v>
      </c>
      <c r="B43" s="3">
        <v>2022</v>
      </c>
      <c r="C43" s="4" t="s">
        <v>48</v>
      </c>
      <c r="D43" s="5">
        <v>2785937000</v>
      </c>
      <c r="E43" s="23">
        <f t="shared" si="0"/>
        <v>3905659000</v>
      </c>
      <c r="F43" s="23">
        <f t="shared" si="1"/>
        <v>-1119722000</v>
      </c>
      <c r="G43" s="23">
        <f t="shared" si="15"/>
        <v>-93310166.666666672</v>
      </c>
      <c r="H43" s="23">
        <f t="shared" si="2"/>
        <v>3812348833.3333335</v>
      </c>
      <c r="I43" s="23">
        <f t="shared" si="3"/>
        <v>3719038666.6666665</v>
      </c>
      <c r="J43" s="23">
        <f t="shared" si="4"/>
        <v>3625728500</v>
      </c>
      <c r="K43" s="23">
        <f t="shared" si="5"/>
        <v>3532418333.3333335</v>
      </c>
      <c r="L43" s="23">
        <f t="shared" si="6"/>
        <v>3439108166.6666665</v>
      </c>
      <c r="M43" s="23">
        <f t="shared" si="7"/>
        <v>3345798000</v>
      </c>
      <c r="N43" s="23">
        <f t="shared" si="8"/>
        <v>3252487833.333333</v>
      </c>
      <c r="O43" s="23">
        <f t="shared" si="9"/>
        <v>3159177666.6666665</v>
      </c>
      <c r="P43" s="23">
        <f t="shared" si="10"/>
        <v>3065867500</v>
      </c>
      <c r="Q43" s="23">
        <f t="shared" si="11"/>
        <v>2972557333.333333</v>
      </c>
      <c r="R43" s="23">
        <f t="shared" si="12"/>
        <v>2879247166.6666665</v>
      </c>
      <c r="S43" s="23">
        <f t="shared" si="13"/>
        <v>2785937000</v>
      </c>
      <c r="T43" s="23">
        <f t="shared" si="14"/>
        <v>0</v>
      </c>
    </row>
    <row r="44" spans="1:20" x14ac:dyDescent="0.3">
      <c r="A44" s="3" t="s">
        <v>46</v>
      </c>
      <c r="B44" s="3">
        <v>2021</v>
      </c>
      <c r="C44" s="4" t="s">
        <v>49</v>
      </c>
      <c r="D44" s="18">
        <v>3905659000</v>
      </c>
      <c r="E44" s="23">
        <f t="shared" si="0"/>
        <v>4679665000</v>
      </c>
      <c r="F44" s="23">
        <f t="shared" si="1"/>
        <v>-774006000</v>
      </c>
      <c r="G44" s="23">
        <f t="shared" si="15"/>
        <v>-64500500</v>
      </c>
      <c r="H44" s="23">
        <f t="shared" si="2"/>
        <v>4615164500</v>
      </c>
      <c r="I44" s="23">
        <f t="shared" si="3"/>
        <v>4550664000</v>
      </c>
      <c r="J44" s="23">
        <f t="shared" si="4"/>
        <v>4486163500</v>
      </c>
      <c r="K44" s="23">
        <f t="shared" si="5"/>
        <v>4421663000</v>
      </c>
      <c r="L44" s="23">
        <f t="shared" si="6"/>
        <v>4357162500</v>
      </c>
      <c r="M44" s="23">
        <f t="shared" si="7"/>
        <v>4292662000</v>
      </c>
      <c r="N44" s="23">
        <f t="shared" si="8"/>
        <v>4228161500</v>
      </c>
      <c r="O44" s="23">
        <f t="shared" si="9"/>
        <v>4163661000</v>
      </c>
      <c r="P44" s="23">
        <f t="shared" si="10"/>
        <v>4099160500</v>
      </c>
      <c r="Q44" s="23">
        <f t="shared" si="11"/>
        <v>4034660000</v>
      </c>
      <c r="R44" s="23">
        <f t="shared" si="12"/>
        <v>3970159500</v>
      </c>
      <c r="S44" s="23">
        <f t="shared" si="13"/>
        <v>3905659000</v>
      </c>
      <c r="T44" s="23">
        <f t="shared" si="14"/>
        <v>0</v>
      </c>
    </row>
    <row r="45" spans="1:20" x14ac:dyDescent="0.3">
      <c r="A45" s="3" t="s">
        <v>46</v>
      </c>
      <c r="B45" s="3">
        <v>2020</v>
      </c>
      <c r="C45" s="4" t="s">
        <v>50</v>
      </c>
      <c r="D45" s="5">
        <v>4679665000</v>
      </c>
      <c r="E45" s="23">
        <f t="shared" si="0"/>
        <v>3560436000</v>
      </c>
      <c r="F45" s="23">
        <f t="shared" si="1"/>
        <v>1119229000</v>
      </c>
      <c r="G45" s="23">
        <f t="shared" si="15"/>
        <v>93269083.333333328</v>
      </c>
      <c r="H45" s="23">
        <f t="shared" si="2"/>
        <v>3653705083.3333335</v>
      </c>
      <c r="I45" s="23">
        <f t="shared" si="3"/>
        <v>3746974166.6666665</v>
      </c>
      <c r="J45" s="23">
        <f t="shared" si="4"/>
        <v>3840243250</v>
      </c>
      <c r="K45" s="23">
        <f t="shared" si="5"/>
        <v>3933512333.3333335</v>
      </c>
      <c r="L45" s="23">
        <f t="shared" si="6"/>
        <v>4026781416.6666665</v>
      </c>
      <c r="M45" s="23">
        <f t="shared" si="7"/>
        <v>4120050500</v>
      </c>
      <c r="N45" s="23">
        <f t="shared" si="8"/>
        <v>4213319583.333333</v>
      </c>
      <c r="O45" s="23">
        <f t="shared" si="9"/>
        <v>4306588666.666667</v>
      </c>
      <c r="P45" s="23">
        <f t="shared" si="10"/>
        <v>4399857750</v>
      </c>
      <c r="Q45" s="23">
        <f t="shared" si="11"/>
        <v>4493126833.333333</v>
      </c>
      <c r="R45" s="23">
        <f t="shared" si="12"/>
        <v>4586395916.666667</v>
      </c>
      <c r="S45" s="23">
        <f t="shared" si="13"/>
        <v>4679665000</v>
      </c>
      <c r="T45" s="23">
        <f t="shared" si="14"/>
        <v>0</v>
      </c>
    </row>
    <row r="46" spans="1:20" x14ac:dyDescent="0.3">
      <c r="A46" s="3" t="s">
        <v>46</v>
      </c>
      <c r="B46" s="3">
        <v>2019</v>
      </c>
      <c r="C46" s="4" t="s">
        <v>51</v>
      </c>
      <c r="D46" s="5">
        <v>3560436000</v>
      </c>
      <c r="E46" s="23">
        <f t="shared" si="0"/>
        <v>3183104000</v>
      </c>
      <c r="F46" s="23">
        <f t="shared" si="1"/>
        <v>377332000</v>
      </c>
      <c r="G46" s="23">
        <f t="shared" si="15"/>
        <v>31444333.333333332</v>
      </c>
      <c r="H46" s="23">
        <f t="shared" si="2"/>
        <v>3214548333.3333335</v>
      </c>
      <c r="I46" s="23">
        <f t="shared" si="3"/>
        <v>3245992666.6666665</v>
      </c>
      <c r="J46" s="23">
        <f t="shared" si="4"/>
        <v>3277437000</v>
      </c>
      <c r="K46" s="23">
        <f t="shared" si="5"/>
        <v>3308881333.3333335</v>
      </c>
      <c r="L46" s="23">
        <f t="shared" si="6"/>
        <v>3340325666.6666665</v>
      </c>
      <c r="M46" s="23">
        <f t="shared" si="7"/>
        <v>3371770000</v>
      </c>
      <c r="N46" s="23">
        <f t="shared" si="8"/>
        <v>3403214333.3333335</v>
      </c>
      <c r="O46" s="23">
        <f t="shared" si="9"/>
        <v>3434658666.6666665</v>
      </c>
      <c r="P46" s="23">
        <f t="shared" si="10"/>
        <v>3466103000</v>
      </c>
      <c r="Q46" s="23">
        <f t="shared" si="11"/>
        <v>3497547333.3333335</v>
      </c>
      <c r="R46" s="23">
        <f t="shared" si="12"/>
        <v>3528991666.6666665</v>
      </c>
      <c r="S46" s="23">
        <f t="shared" si="13"/>
        <v>3560436000</v>
      </c>
      <c r="T46" s="23">
        <f t="shared" si="14"/>
        <v>0</v>
      </c>
    </row>
    <row r="47" spans="1:20" x14ac:dyDescent="0.3">
      <c r="A47" s="3" t="s">
        <v>46</v>
      </c>
      <c r="B47" s="3">
        <v>2018</v>
      </c>
      <c r="C47" s="4" t="s">
        <v>52</v>
      </c>
      <c r="D47" s="5">
        <v>3183104000</v>
      </c>
      <c r="E47" s="23">
        <f t="shared" si="0"/>
        <v>2511253000</v>
      </c>
      <c r="F47" s="23">
        <f t="shared" si="1"/>
        <v>671851000</v>
      </c>
      <c r="G47" s="23">
        <f t="shared" si="15"/>
        <v>55987583.333333336</v>
      </c>
      <c r="H47" s="23">
        <f t="shared" si="2"/>
        <v>2567240583.3333335</v>
      </c>
      <c r="I47" s="23">
        <f t="shared" si="3"/>
        <v>2623228166.6666665</v>
      </c>
      <c r="J47" s="23">
        <f t="shared" si="4"/>
        <v>2679215750</v>
      </c>
      <c r="K47" s="23">
        <f t="shared" si="5"/>
        <v>2735203333.3333335</v>
      </c>
      <c r="L47" s="23">
        <f t="shared" si="6"/>
        <v>2791190916.6666665</v>
      </c>
      <c r="M47" s="23">
        <f t="shared" si="7"/>
        <v>2847178500</v>
      </c>
      <c r="N47" s="23">
        <f t="shared" si="8"/>
        <v>2903166083.3333335</v>
      </c>
      <c r="O47" s="23">
        <f t="shared" si="9"/>
        <v>2959153666.6666665</v>
      </c>
      <c r="P47" s="23">
        <f t="shared" si="10"/>
        <v>3015141250</v>
      </c>
      <c r="Q47" s="23">
        <f t="shared" si="11"/>
        <v>3071128833.3333335</v>
      </c>
      <c r="R47" s="23">
        <f t="shared" si="12"/>
        <v>3127116416.666667</v>
      </c>
      <c r="S47" s="23">
        <f t="shared" si="13"/>
        <v>3183104000</v>
      </c>
      <c r="T47" s="23">
        <f t="shared" si="14"/>
        <v>0</v>
      </c>
    </row>
    <row r="48" spans="1:20" s="47" customFormat="1" x14ac:dyDescent="0.3">
      <c r="A48" s="44" t="s">
        <v>46</v>
      </c>
      <c r="B48" s="44">
        <v>2017</v>
      </c>
      <c r="C48" s="44" t="s">
        <v>25</v>
      </c>
      <c r="D48" s="45">
        <v>2511253000</v>
      </c>
      <c r="E48" s="46">
        <f t="shared" si="0"/>
        <v>2520094000</v>
      </c>
      <c r="F48" s="46">
        <f t="shared" si="1"/>
        <v>-8841000</v>
      </c>
      <c r="G48" s="46">
        <f t="shared" si="15"/>
        <v>-736750</v>
      </c>
      <c r="H48" s="46">
        <f t="shared" si="2"/>
        <v>2519357250</v>
      </c>
      <c r="I48" s="46">
        <f t="shared" si="3"/>
        <v>2518620500</v>
      </c>
      <c r="J48" s="46">
        <f t="shared" si="4"/>
        <v>2517883750</v>
      </c>
      <c r="K48" s="46">
        <f t="shared" si="5"/>
        <v>2517147000</v>
      </c>
      <c r="L48" s="46">
        <f t="shared" si="6"/>
        <v>2516410250</v>
      </c>
      <c r="M48" s="46">
        <f t="shared" si="7"/>
        <v>2515673500</v>
      </c>
      <c r="N48" s="46">
        <f t="shared" si="8"/>
        <v>2514936750</v>
      </c>
      <c r="O48" s="46">
        <f t="shared" si="9"/>
        <v>2514200000</v>
      </c>
      <c r="P48" s="46">
        <f t="shared" si="10"/>
        <v>2513463250</v>
      </c>
      <c r="Q48" s="46">
        <f t="shared" si="11"/>
        <v>2512726500</v>
      </c>
      <c r="R48" s="46">
        <f t="shared" si="12"/>
        <v>2511989750</v>
      </c>
      <c r="S48" s="46">
        <f t="shared" si="13"/>
        <v>2511253000</v>
      </c>
      <c r="T48" s="46">
        <f t="shared" si="14"/>
        <v>0</v>
      </c>
    </row>
    <row r="49" spans="1:20" s="47" customFormat="1" x14ac:dyDescent="0.3">
      <c r="A49" s="44" t="s">
        <v>46</v>
      </c>
      <c r="B49" s="44">
        <v>2016</v>
      </c>
      <c r="C49" s="44" t="s">
        <v>25</v>
      </c>
      <c r="D49" s="45">
        <v>2520094000</v>
      </c>
      <c r="E49" s="46"/>
      <c r="F49" s="46"/>
      <c r="G49" s="46">
        <f t="shared" si="15"/>
        <v>0</v>
      </c>
      <c r="H49" s="46">
        <f t="shared" si="2"/>
        <v>0</v>
      </c>
      <c r="I49" s="46">
        <f t="shared" si="3"/>
        <v>0</v>
      </c>
      <c r="J49" s="46">
        <f t="shared" si="4"/>
        <v>0</v>
      </c>
      <c r="K49" s="46">
        <f t="shared" si="5"/>
        <v>0</v>
      </c>
      <c r="L49" s="46">
        <f t="shared" si="6"/>
        <v>0</v>
      </c>
      <c r="M49" s="46">
        <f t="shared" si="7"/>
        <v>0</v>
      </c>
      <c r="N49" s="46">
        <f t="shared" si="8"/>
        <v>0</v>
      </c>
      <c r="O49" s="46">
        <f t="shared" si="9"/>
        <v>0</v>
      </c>
      <c r="P49" s="46">
        <f t="shared" si="10"/>
        <v>0</v>
      </c>
      <c r="Q49" s="46">
        <f t="shared" si="11"/>
        <v>0</v>
      </c>
      <c r="R49" s="46">
        <f t="shared" si="12"/>
        <v>0</v>
      </c>
      <c r="S49" s="46">
        <f t="shared" si="13"/>
        <v>0</v>
      </c>
      <c r="T49" s="46">
        <f t="shared" si="14"/>
        <v>-2520094000</v>
      </c>
    </row>
    <row r="50" spans="1:20" x14ac:dyDescent="0.3">
      <c r="A50" s="3" t="s">
        <v>91</v>
      </c>
      <c r="B50" s="3">
        <v>2023</v>
      </c>
      <c r="C50" s="19" t="s">
        <v>93</v>
      </c>
      <c r="D50" s="5">
        <v>933068000</v>
      </c>
      <c r="E50" s="23">
        <f t="shared" si="0"/>
        <v>872425000</v>
      </c>
      <c r="F50" s="23">
        <f t="shared" si="1"/>
        <v>60643000</v>
      </c>
      <c r="G50" s="23">
        <f t="shared" si="15"/>
        <v>5053583.333333333</v>
      </c>
      <c r="H50" s="23">
        <f t="shared" si="2"/>
        <v>877478583.33333337</v>
      </c>
      <c r="I50" s="23">
        <f t="shared" si="3"/>
        <v>882532166.66666663</v>
      </c>
      <c r="J50" s="23">
        <f t="shared" si="4"/>
        <v>887585750</v>
      </c>
      <c r="K50" s="23">
        <f t="shared" si="5"/>
        <v>892639333.33333337</v>
      </c>
      <c r="L50" s="23">
        <f t="shared" si="6"/>
        <v>897692916.66666663</v>
      </c>
      <c r="M50" s="23">
        <f t="shared" si="7"/>
        <v>902746500</v>
      </c>
      <c r="N50" s="23">
        <f t="shared" si="8"/>
        <v>907800083.33333337</v>
      </c>
      <c r="O50" s="23">
        <f t="shared" si="9"/>
        <v>912853666.66666663</v>
      </c>
      <c r="P50" s="23">
        <f t="shared" si="10"/>
        <v>917907250</v>
      </c>
      <c r="Q50" s="23">
        <f t="shared" si="11"/>
        <v>922960833.33333337</v>
      </c>
      <c r="R50" s="23">
        <f t="shared" si="12"/>
        <v>928014416.66666663</v>
      </c>
      <c r="S50" s="23">
        <f t="shared" si="13"/>
        <v>933068000</v>
      </c>
      <c r="T50" s="23">
        <f t="shared" si="14"/>
        <v>0</v>
      </c>
    </row>
    <row r="51" spans="1:20" x14ac:dyDescent="0.3">
      <c r="A51" s="3" t="s">
        <v>91</v>
      </c>
      <c r="B51" s="3">
        <v>2022</v>
      </c>
      <c r="C51" s="1" t="s">
        <v>92</v>
      </c>
      <c r="D51" s="18">
        <v>872425000</v>
      </c>
      <c r="E51" s="23">
        <f t="shared" si="0"/>
        <v>1161820000</v>
      </c>
      <c r="F51" s="23">
        <f t="shared" si="1"/>
        <v>-289395000</v>
      </c>
      <c r="G51" s="23">
        <f t="shared" si="15"/>
        <v>-24116250</v>
      </c>
      <c r="H51" s="23">
        <f t="shared" si="2"/>
        <v>1137703750</v>
      </c>
      <c r="I51" s="23">
        <f t="shared" si="3"/>
        <v>1113587500</v>
      </c>
      <c r="J51" s="23">
        <f t="shared" si="4"/>
        <v>1089471250</v>
      </c>
      <c r="K51" s="23">
        <f t="shared" si="5"/>
        <v>1065355000</v>
      </c>
      <c r="L51" s="23">
        <f t="shared" si="6"/>
        <v>1041238750</v>
      </c>
      <c r="M51" s="23">
        <f t="shared" si="7"/>
        <v>1017122500</v>
      </c>
      <c r="N51" s="23">
        <f t="shared" si="8"/>
        <v>993006250</v>
      </c>
      <c r="O51" s="23">
        <f t="shared" si="9"/>
        <v>968890000</v>
      </c>
      <c r="P51" s="23">
        <f t="shared" si="10"/>
        <v>944773750</v>
      </c>
      <c r="Q51" s="23">
        <f t="shared" si="11"/>
        <v>920657500</v>
      </c>
      <c r="R51" s="23">
        <f t="shared" si="12"/>
        <v>896541250</v>
      </c>
      <c r="S51" s="23">
        <f t="shared" si="13"/>
        <v>872425000</v>
      </c>
      <c r="T51" s="23">
        <f t="shared" si="14"/>
        <v>0</v>
      </c>
    </row>
    <row r="52" spans="1:20" x14ac:dyDescent="0.3">
      <c r="A52" s="3" t="s">
        <v>91</v>
      </c>
      <c r="B52" s="3">
        <v>2021</v>
      </c>
      <c r="C52" s="19" t="s">
        <v>94</v>
      </c>
      <c r="D52" s="5">
        <v>1161820000</v>
      </c>
      <c r="E52" s="23">
        <f t="shared" si="0"/>
        <v>1145924000</v>
      </c>
      <c r="F52" s="23">
        <f t="shared" si="1"/>
        <v>15896000</v>
      </c>
      <c r="G52" s="23">
        <f t="shared" si="15"/>
        <v>1324666.6666666667</v>
      </c>
      <c r="H52" s="23">
        <f t="shared" si="2"/>
        <v>1147248666.6666667</v>
      </c>
      <c r="I52" s="23">
        <f t="shared" si="3"/>
        <v>1148573333.3333333</v>
      </c>
      <c r="J52" s="23">
        <f t="shared" si="4"/>
        <v>1149898000</v>
      </c>
      <c r="K52" s="23">
        <f t="shared" si="5"/>
        <v>1151222666.6666667</v>
      </c>
      <c r="L52" s="23">
        <f t="shared" si="6"/>
        <v>1152547333.3333333</v>
      </c>
      <c r="M52" s="23">
        <f t="shared" si="7"/>
        <v>1153872000</v>
      </c>
      <c r="N52" s="23">
        <f t="shared" si="8"/>
        <v>1155196666.6666667</v>
      </c>
      <c r="O52" s="23">
        <f t="shared" si="9"/>
        <v>1156521333.3333333</v>
      </c>
      <c r="P52" s="23">
        <f t="shared" si="10"/>
        <v>1157846000</v>
      </c>
      <c r="Q52" s="23">
        <f t="shared" si="11"/>
        <v>1159170666.6666667</v>
      </c>
      <c r="R52" s="23">
        <f t="shared" si="12"/>
        <v>1160495333.3333333</v>
      </c>
      <c r="S52" s="23">
        <f t="shared" si="13"/>
        <v>1161820000</v>
      </c>
      <c r="T52" s="23">
        <f t="shared" si="14"/>
        <v>0</v>
      </c>
    </row>
    <row r="53" spans="1:20" x14ac:dyDescent="0.3">
      <c r="A53" s="3" t="s">
        <v>91</v>
      </c>
      <c r="B53" s="3">
        <v>2020</v>
      </c>
      <c r="C53" s="1" t="s">
        <v>95</v>
      </c>
      <c r="D53" s="5">
        <v>1145924000</v>
      </c>
      <c r="E53" s="23">
        <f t="shared" si="0"/>
        <v>805379000</v>
      </c>
      <c r="F53" s="23">
        <f t="shared" si="1"/>
        <v>340545000</v>
      </c>
      <c r="G53" s="23">
        <f t="shared" si="15"/>
        <v>28378750</v>
      </c>
      <c r="H53" s="23">
        <f t="shared" si="2"/>
        <v>833757750</v>
      </c>
      <c r="I53" s="23">
        <f t="shared" si="3"/>
        <v>862136500</v>
      </c>
      <c r="J53" s="23">
        <f t="shared" si="4"/>
        <v>890515250</v>
      </c>
      <c r="K53" s="23">
        <f t="shared" si="5"/>
        <v>918894000</v>
      </c>
      <c r="L53" s="23">
        <f t="shared" si="6"/>
        <v>947272750</v>
      </c>
      <c r="M53" s="23">
        <f t="shared" si="7"/>
        <v>975651500</v>
      </c>
      <c r="N53" s="23">
        <f t="shared" si="8"/>
        <v>1004030250</v>
      </c>
      <c r="O53" s="23">
        <f t="shared" si="9"/>
        <v>1032409000</v>
      </c>
      <c r="P53" s="23">
        <f t="shared" si="10"/>
        <v>1060787750</v>
      </c>
      <c r="Q53" s="23">
        <f t="shared" si="11"/>
        <v>1089166500</v>
      </c>
      <c r="R53" s="23">
        <f t="shared" si="12"/>
        <v>1117545250</v>
      </c>
      <c r="S53" s="23">
        <f t="shared" si="13"/>
        <v>1145924000</v>
      </c>
      <c r="T53" s="23">
        <f t="shared" si="14"/>
        <v>0</v>
      </c>
    </row>
    <row r="54" spans="1:20" x14ac:dyDescent="0.3">
      <c r="A54" s="3" t="s">
        <v>91</v>
      </c>
      <c r="B54" s="3">
        <v>2019</v>
      </c>
      <c r="C54" s="19" t="s">
        <v>96</v>
      </c>
      <c r="D54" s="5">
        <v>805379000</v>
      </c>
      <c r="E54" s="23">
        <f t="shared" si="0"/>
        <v>216971000</v>
      </c>
      <c r="F54" s="23">
        <f t="shared" si="1"/>
        <v>588408000</v>
      </c>
      <c r="G54" s="23">
        <f t="shared" si="15"/>
        <v>49034000</v>
      </c>
      <c r="H54" s="23">
        <f t="shared" si="2"/>
        <v>266005000</v>
      </c>
      <c r="I54" s="23">
        <f t="shared" si="3"/>
        <v>315039000</v>
      </c>
      <c r="J54" s="23">
        <f t="shared" si="4"/>
        <v>364073000</v>
      </c>
      <c r="K54" s="23">
        <f t="shared" si="5"/>
        <v>413107000</v>
      </c>
      <c r="L54" s="23">
        <f t="shared" si="6"/>
        <v>462141000</v>
      </c>
      <c r="M54" s="23">
        <f t="shared" si="7"/>
        <v>511175000</v>
      </c>
      <c r="N54" s="23">
        <f t="shared" si="8"/>
        <v>560209000</v>
      </c>
      <c r="O54" s="23">
        <f t="shared" si="9"/>
        <v>609243000</v>
      </c>
      <c r="P54" s="23">
        <f t="shared" si="10"/>
        <v>658277000</v>
      </c>
      <c r="Q54" s="23">
        <f t="shared" si="11"/>
        <v>707311000</v>
      </c>
      <c r="R54" s="23">
        <f t="shared" si="12"/>
        <v>756345000</v>
      </c>
      <c r="S54" s="23">
        <f t="shared" si="13"/>
        <v>805379000</v>
      </c>
      <c r="T54" s="23">
        <f t="shared" si="14"/>
        <v>0</v>
      </c>
    </row>
    <row r="55" spans="1:20" x14ac:dyDescent="0.3">
      <c r="A55" s="3" t="s">
        <v>91</v>
      </c>
      <c r="B55" s="3">
        <v>2018</v>
      </c>
      <c r="C55" s="19" t="s">
        <v>97</v>
      </c>
      <c r="D55" s="5">
        <v>216971000</v>
      </c>
      <c r="E55" s="23">
        <f t="shared" si="0"/>
        <v>263202000</v>
      </c>
      <c r="F55" s="23">
        <f t="shared" si="1"/>
        <v>-46231000</v>
      </c>
      <c r="G55" s="23">
        <f t="shared" si="15"/>
        <v>-3852583.3333333335</v>
      </c>
      <c r="H55" s="23">
        <f t="shared" si="2"/>
        <v>259349416.66666666</v>
      </c>
      <c r="I55" s="23">
        <f t="shared" si="3"/>
        <v>255496833.33333334</v>
      </c>
      <c r="J55" s="23">
        <f t="shared" si="4"/>
        <v>251644250</v>
      </c>
      <c r="K55" s="23">
        <f t="shared" si="5"/>
        <v>247791666.66666666</v>
      </c>
      <c r="L55" s="23">
        <f t="shared" si="6"/>
        <v>243939083.33333334</v>
      </c>
      <c r="M55" s="23">
        <f t="shared" si="7"/>
        <v>240086500</v>
      </c>
      <c r="N55" s="23">
        <f t="shared" si="8"/>
        <v>236233916.66666666</v>
      </c>
      <c r="O55" s="23">
        <f t="shared" si="9"/>
        <v>232381333.33333334</v>
      </c>
      <c r="P55" s="23">
        <f t="shared" si="10"/>
        <v>228528750</v>
      </c>
      <c r="Q55" s="23">
        <f t="shared" si="11"/>
        <v>224676166.66666666</v>
      </c>
      <c r="R55" s="23">
        <f t="shared" si="12"/>
        <v>220823583.33333331</v>
      </c>
      <c r="S55" s="23">
        <f t="shared" si="13"/>
        <v>216971000</v>
      </c>
      <c r="T55" s="23">
        <f t="shared" si="14"/>
        <v>0</v>
      </c>
    </row>
    <row r="56" spans="1:20" x14ac:dyDescent="0.3">
      <c r="A56" s="3" t="s">
        <v>91</v>
      </c>
      <c r="B56" s="3">
        <v>2017</v>
      </c>
      <c r="C56" s="19" t="s">
        <v>98</v>
      </c>
      <c r="D56" s="5">
        <v>263202000</v>
      </c>
      <c r="E56" s="23">
        <f t="shared" si="0"/>
        <v>273434000</v>
      </c>
      <c r="F56" s="23">
        <f t="shared" si="1"/>
        <v>-10232000</v>
      </c>
      <c r="G56" s="23">
        <f t="shared" si="15"/>
        <v>-852666.66666666663</v>
      </c>
      <c r="H56" s="23">
        <f t="shared" si="2"/>
        <v>272581333.33333331</v>
      </c>
      <c r="I56" s="23">
        <f t="shared" si="3"/>
        <v>271728666.66666669</v>
      </c>
      <c r="J56" s="23">
        <f t="shared" si="4"/>
        <v>270876000</v>
      </c>
      <c r="K56" s="23">
        <f t="shared" si="5"/>
        <v>270023333.33333331</v>
      </c>
      <c r="L56" s="23">
        <f t="shared" si="6"/>
        <v>269170666.66666669</v>
      </c>
      <c r="M56" s="23">
        <f t="shared" si="7"/>
        <v>268318000</v>
      </c>
      <c r="N56" s="23">
        <f t="shared" si="8"/>
        <v>267465333.33333334</v>
      </c>
      <c r="O56" s="23">
        <f t="shared" si="9"/>
        <v>266612666.66666666</v>
      </c>
      <c r="P56" s="23">
        <f t="shared" si="10"/>
        <v>265760000</v>
      </c>
      <c r="Q56" s="23">
        <f t="shared" si="11"/>
        <v>264907333.33333334</v>
      </c>
      <c r="R56" s="23">
        <f t="shared" si="12"/>
        <v>264054666.66666666</v>
      </c>
      <c r="S56" s="23">
        <f t="shared" si="13"/>
        <v>263202000</v>
      </c>
      <c r="T56" s="23">
        <f t="shared" si="14"/>
        <v>0</v>
      </c>
    </row>
    <row r="57" spans="1:20" x14ac:dyDescent="0.3">
      <c r="A57" s="3" t="s">
        <v>91</v>
      </c>
      <c r="B57" s="3">
        <v>2016</v>
      </c>
      <c r="C57" s="19" t="s">
        <v>99</v>
      </c>
      <c r="D57" s="5">
        <v>273434000</v>
      </c>
      <c r="E57" s="23"/>
      <c r="F57" s="23"/>
      <c r="G57" s="23">
        <f t="shared" si="15"/>
        <v>0</v>
      </c>
      <c r="H57" s="23">
        <f t="shared" si="2"/>
        <v>0</v>
      </c>
      <c r="I57" s="23">
        <f t="shared" si="3"/>
        <v>0</v>
      </c>
      <c r="J57" s="23">
        <f t="shared" si="4"/>
        <v>0</v>
      </c>
      <c r="K57" s="23">
        <f t="shared" si="5"/>
        <v>0</v>
      </c>
      <c r="L57" s="23">
        <f t="shared" si="6"/>
        <v>0</v>
      </c>
      <c r="M57" s="23">
        <f t="shared" si="7"/>
        <v>0</v>
      </c>
      <c r="N57" s="23">
        <f t="shared" si="8"/>
        <v>0</v>
      </c>
      <c r="O57" s="23">
        <f t="shared" si="9"/>
        <v>0</v>
      </c>
      <c r="P57" s="23">
        <f t="shared" si="10"/>
        <v>0</v>
      </c>
      <c r="Q57" s="23">
        <f t="shared" si="11"/>
        <v>0</v>
      </c>
      <c r="R57" s="23">
        <f t="shared" si="12"/>
        <v>0</v>
      </c>
      <c r="S57" s="23">
        <f t="shared" si="13"/>
        <v>0</v>
      </c>
      <c r="T57" s="23"/>
    </row>
    <row r="58" spans="1:20" s="25" customFormat="1" x14ac:dyDescent="0.3">
      <c r="A58" s="8" t="s">
        <v>101</v>
      </c>
      <c r="B58" s="8">
        <v>2019</v>
      </c>
      <c r="C58" s="7"/>
      <c r="D58" s="17"/>
      <c r="E58" s="24">
        <f t="shared" si="0"/>
        <v>0</v>
      </c>
      <c r="F58" s="24">
        <f t="shared" si="1"/>
        <v>0</v>
      </c>
      <c r="G58" s="24">
        <f t="shared" si="15"/>
        <v>0</v>
      </c>
      <c r="H58" s="24">
        <f t="shared" si="2"/>
        <v>0</v>
      </c>
      <c r="I58" s="24">
        <f t="shared" si="3"/>
        <v>0</v>
      </c>
      <c r="J58" s="24">
        <f t="shared" si="4"/>
        <v>0</v>
      </c>
      <c r="K58" s="24">
        <f t="shared" si="5"/>
        <v>0</v>
      </c>
      <c r="L58" s="24">
        <f t="shared" si="6"/>
        <v>0</v>
      </c>
      <c r="M58" s="24">
        <f t="shared" si="7"/>
        <v>0</v>
      </c>
      <c r="N58" s="24">
        <f t="shared" si="8"/>
        <v>0</v>
      </c>
      <c r="O58" s="24">
        <f t="shared" si="9"/>
        <v>0</v>
      </c>
      <c r="P58" s="24">
        <f t="shared" si="10"/>
        <v>0</v>
      </c>
      <c r="Q58" s="24">
        <f t="shared" si="11"/>
        <v>0</v>
      </c>
      <c r="R58" s="24">
        <f t="shared" si="12"/>
        <v>0</v>
      </c>
      <c r="S58" s="24">
        <f t="shared" si="13"/>
        <v>0</v>
      </c>
      <c r="T58" s="24">
        <f t="shared" si="14"/>
        <v>0</v>
      </c>
    </row>
    <row r="59" spans="1:20" s="25" customFormat="1" x14ac:dyDescent="0.3">
      <c r="A59" s="8" t="s">
        <v>101</v>
      </c>
      <c r="B59" s="8">
        <v>2018</v>
      </c>
      <c r="C59" s="7"/>
      <c r="D59" s="17"/>
      <c r="E59" s="24">
        <f t="shared" si="0"/>
        <v>0</v>
      </c>
      <c r="F59" s="24">
        <f t="shared" si="1"/>
        <v>0</v>
      </c>
      <c r="G59" s="24">
        <f t="shared" si="15"/>
        <v>0</v>
      </c>
      <c r="H59" s="24">
        <f t="shared" si="2"/>
        <v>0</v>
      </c>
      <c r="I59" s="24">
        <f t="shared" si="3"/>
        <v>0</v>
      </c>
      <c r="J59" s="24">
        <f t="shared" si="4"/>
        <v>0</v>
      </c>
      <c r="K59" s="24">
        <f t="shared" si="5"/>
        <v>0</v>
      </c>
      <c r="L59" s="24">
        <f t="shared" si="6"/>
        <v>0</v>
      </c>
      <c r="M59" s="24">
        <f t="shared" si="7"/>
        <v>0</v>
      </c>
      <c r="N59" s="24">
        <f t="shared" si="8"/>
        <v>0</v>
      </c>
      <c r="O59" s="24">
        <f t="shared" si="9"/>
        <v>0</v>
      </c>
      <c r="P59" s="24">
        <f t="shared" si="10"/>
        <v>0</v>
      </c>
      <c r="Q59" s="24">
        <f t="shared" si="11"/>
        <v>0</v>
      </c>
      <c r="R59" s="24">
        <f t="shared" si="12"/>
        <v>0</v>
      </c>
      <c r="S59" s="24">
        <f t="shared" si="13"/>
        <v>0</v>
      </c>
      <c r="T59" s="24">
        <f t="shared" si="14"/>
        <v>0</v>
      </c>
    </row>
    <row r="60" spans="1:20" s="25" customFormat="1" x14ac:dyDescent="0.3">
      <c r="A60" s="8" t="s">
        <v>101</v>
      </c>
      <c r="B60" s="8">
        <v>2017</v>
      </c>
      <c r="C60" s="7"/>
      <c r="D60" s="17"/>
      <c r="E60" s="24">
        <f t="shared" si="0"/>
        <v>0</v>
      </c>
      <c r="F60" s="24">
        <f t="shared" si="1"/>
        <v>0</v>
      </c>
      <c r="G60" s="24">
        <f t="shared" si="15"/>
        <v>0</v>
      </c>
      <c r="H60" s="24">
        <f t="shared" si="2"/>
        <v>0</v>
      </c>
      <c r="I60" s="24">
        <f t="shared" si="3"/>
        <v>0</v>
      </c>
      <c r="J60" s="24">
        <f t="shared" si="4"/>
        <v>0</v>
      </c>
      <c r="K60" s="24">
        <f t="shared" si="5"/>
        <v>0</v>
      </c>
      <c r="L60" s="24">
        <f t="shared" si="6"/>
        <v>0</v>
      </c>
      <c r="M60" s="24">
        <f t="shared" si="7"/>
        <v>0</v>
      </c>
      <c r="N60" s="24">
        <f t="shared" si="8"/>
        <v>0</v>
      </c>
      <c r="O60" s="24">
        <f t="shared" si="9"/>
        <v>0</v>
      </c>
      <c r="P60" s="24">
        <f t="shared" si="10"/>
        <v>0</v>
      </c>
      <c r="Q60" s="24">
        <f t="shared" si="11"/>
        <v>0</v>
      </c>
      <c r="R60" s="24">
        <f t="shared" si="12"/>
        <v>0</v>
      </c>
      <c r="S60" s="24">
        <f t="shared" si="13"/>
        <v>0</v>
      </c>
      <c r="T60" s="24">
        <f t="shared" si="14"/>
        <v>0</v>
      </c>
    </row>
    <row r="61" spans="1:20" s="25" customFormat="1" x14ac:dyDescent="0.3">
      <c r="A61" s="8" t="s">
        <v>101</v>
      </c>
      <c r="B61" s="8">
        <v>2016</v>
      </c>
      <c r="C61" s="7"/>
      <c r="D61" s="17"/>
      <c r="E61" s="24"/>
      <c r="F61" s="24">
        <f t="shared" si="1"/>
        <v>0</v>
      </c>
      <c r="G61" s="24">
        <f t="shared" si="15"/>
        <v>0</v>
      </c>
      <c r="H61" s="24">
        <f t="shared" si="2"/>
        <v>0</v>
      </c>
      <c r="I61" s="24">
        <f t="shared" si="3"/>
        <v>0</v>
      </c>
      <c r="J61" s="24">
        <f t="shared" si="4"/>
        <v>0</v>
      </c>
      <c r="K61" s="24">
        <f t="shared" si="5"/>
        <v>0</v>
      </c>
      <c r="L61" s="24">
        <f t="shared" si="6"/>
        <v>0</v>
      </c>
      <c r="M61" s="24">
        <f t="shared" si="7"/>
        <v>0</v>
      </c>
      <c r="N61" s="24">
        <f t="shared" si="8"/>
        <v>0</v>
      </c>
      <c r="O61" s="24">
        <f t="shared" si="9"/>
        <v>0</v>
      </c>
      <c r="P61" s="24">
        <f t="shared" si="10"/>
        <v>0</v>
      </c>
      <c r="Q61" s="24">
        <f t="shared" si="11"/>
        <v>0</v>
      </c>
      <c r="R61" s="24">
        <f t="shared" si="12"/>
        <v>0</v>
      </c>
      <c r="S61" s="24">
        <f t="shared" si="13"/>
        <v>0</v>
      </c>
      <c r="T61" s="24">
        <f t="shared" si="14"/>
        <v>0</v>
      </c>
    </row>
    <row r="62" spans="1:20" x14ac:dyDescent="0.3">
      <c r="A62" s="3" t="s">
        <v>78</v>
      </c>
      <c r="B62" s="3">
        <v>2023</v>
      </c>
      <c r="C62" s="4" t="s">
        <v>53</v>
      </c>
      <c r="D62" s="5">
        <v>3835059000</v>
      </c>
      <c r="E62" s="23">
        <f t="shared" si="0"/>
        <v>2613551000</v>
      </c>
      <c r="F62" s="23">
        <f t="shared" si="1"/>
        <v>1221508000</v>
      </c>
      <c r="G62" s="23">
        <f t="shared" si="15"/>
        <v>101792333.33333333</v>
      </c>
      <c r="H62" s="23">
        <f t="shared" si="2"/>
        <v>2715343333.3333335</v>
      </c>
      <c r="I62" s="23">
        <f t="shared" si="3"/>
        <v>2817135666.6666665</v>
      </c>
      <c r="J62" s="23">
        <f t="shared" si="4"/>
        <v>2918928000</v>
      </c>
      <c r="K62" s="23">
        <f t="shared" si="5"/>
        <v>3020720333.3333335</v>
      </c>
      <c r="L62" s="23">
        <f t="shared" si="6"/>
        <v>3122512666.6666665</v>
      </c>
      <c r="M62" s="23">
        <f t="shared" si="7"/>
        <v>3224305000</v>
      </c>
      <c r="N62" s="23">
        <f t="shared" si="8"/>
        <v>3326097333.333333</v>
      </c>
      <c r="O62" s="23">
        <f t="shared" si="9"/>
        <v>3427889666.6666665</v>
      </c>
      <c r="P62" s="23">
        <f t="shared" si="10"/>
        <v>3529682000</v>
      </c>
      <c r="Q62" s="23">
        <f t="shared" si="11"/>
        <v>3631474333.333333</v>
      </c>
      <c r="R62" s="23">
        <f t="shared" si="12"/>
        <v>3733266666.6666665</v>
      </c>
      <c r="S62" s="23">
        <f t="shared" si="13"/>
        <v>3835059000</v>
      </c>
      <c r="T62" s="23">
        <f t="shared" si="14"/>
        <v>0</v>
      </c>
    </row>
    <row r="63" spans="1:20" x14ac:dyDescent="0.3">
      <c r="A63" s="3" t="s">
        <v>78</v>
      </c>
      <c r="B63" s="3">
        <v>2022</v>
      </c>
      <c r="C63" s="1" t="s">
        <v>54</v>
      </c>
      <c r="D63" s="5">
        <v>2613551000</v>
      </c>
      <c r="E63" s="23">
        <f t="shared" si="0"/>
        <v>757875000</v>
      </c>
      <c r="F63" s="23">
        <f t="shared" si="1"/>
        <v>1855676000</v>
      </c>
      <c r="G63" s="23">
        <f t="shared" si="15"/>
        <v>154639666.66666666</v>
      </c>
      <c r="H63" s="23">
        <f t="shared" si="2"/>
        <v>912514666.66666663</v>
      </c>
      <c r="I63" s="23">
        <f t="shared" si="3"/>
        <v>1067154333.3333333</v>
      </c>
      <c r="J63" s="23">
        <f t="shared" si="4"/>
        <v>1221794000</v>
      </c>
      <c r="K63" s="23">
        <f t="shared" si="5"/>
        <v>1376433666.6666665</v>
      </c>
      <c r="L63" s="23">
        <f t="shared" si="6"/>
        <v>1531073333.3333333</v>
      </c>
      <c r="M63" s="23">
        <f t="shared" si="7"/>
        <v>1685713000</v>
      </c>
      <c r="N63" s="23">
        <f t="shared" si="8"/>
        <v>1840352666.6666665</v>
      </c>
      <c r="O63" s="23">
        <f t="shared" si="9"/>
        <v>1994992333.3333333</v>
      </c>
      <c r="P63" s="23">
        <f t="shared" si="10"/>
        <v>2149632000</v>
      </c>
      <c r="Q63" s="23">
        <f t="shared" si="11"/>
        <v>2304271666.6666665</v>
      </c>
      <c r="R63" s="23">
        <f t="shared" si="12"/>
        <v>2458911333.333333</v>
      </c>
      <c r="S63" s="23">
        <f t="shared" si="13"/>
        <v>2613551000</v>
      </c>
      <c r="T63" s="23">
        <f t="shared" si="14"/>
        <v>0</v>
      </c>
    </row>
    <row r="64" spans="1:20" x14ac:dyDescent="0.3">
      <c r="A64" s="3" t="s">
        <v>78</v>
      </c>
      <c r="B64" s="3">
        <v>2021</v>
      </c>
      <c r="C64" s="19" t="s">
        <v>69</v>
      </c>
      <c r="D64" s="5">
        <v>757875000</v>
      </c>
      <c r="E64" s="23">
        <f t="shared" si="0"/>
        <v>3271573000</v>
      </c>
      <c r="F64" s="23">
        <f t="shared" si="1"/>
        <v>-2513698000</v>
      </c>
      <c r="G64" s="23">
        <f t="shared" si="15"/>
        <v>-209474833.33333334</v>
      </c>
      <c r="H64" s="23">
        <f t="shared" si="2"/>
        <v>3062098166.6666665</v>
      </c>
      <c r="I64" s="23">
        <f t="shared" si="3"/>
        <v>2852623333.3333335</v>
      </c>
      <c r="J64" s="23">
        <f t="shared" si="4"/>
        <v>2643148500</v>
      </c>
      <c r="K64" s="23">
        <f t="shared" si="5"/>
        <v>2433673666.6666665</v>
      </c>
      <c r="L64" s="23">
        <f t="shared" si="6"/>
        <v>2224198833.333333</v>
      </c>
      <c r="M64" s="23">
        <f t="shared" si="7"/>
        <v>2014724000</v>
      </c>
      <c r="N64" s="23">
        <f t="shared" si="8"/>
        <v>1805249166.6666665</v>
      </c>
      <c r="O64" s="23">
        <f t="shared" si="9"/>
        <v>1595774333.3333333</v>
      </c>
      <c r="P64" s="23">
        <f t="shared" si="10"/>
        <v>1386299500</v>
      </c>
      <c r="Q64" s="23">
        <f t="shared" si="11"/>
        <v>1176824666.6666665</v>
      </c>
      <c r="R64" s="23">
        <f t="shared" si="12"/>
        <v>967349833.33333302</v>
      </c>
      <c r="S64" s="23">
        <f t="shared" si="13"/>
        <v>757875000</v>
      </c>
      <c r="T64" s="23">
        <f t="shared" si="14"/>
        <v>0</v>
      </c>
    </row>
    <row r="65" spans="1:20" x14ac:dyDescent="0.3">
      <c r="A65" s="3" t="s">
        <v>78</v>
      </c>
      <c r="B65" s="3">
        <v>2020</v>
      </c>
      <c r="C65" s="1" t="s">
        <v>70</v>
      </c>
      <c r="D65" s="5">
        <v>3271573000</v>
      </c>
      <c r="E65" s="23">
        <f t="shared" si="0"/>
        <v>1596926000</v>
      </c>
      <c r="F65" s="23">
        <f t="shared" si="1"/>
        <v>1674647000</v>
      </c>
      <c r="G65" s="23">
        <f t="shared" si="15"/>
        <v>139553916.66666666</v>
      </c>
      <c r="H65" s="23">
        <f t="shared" si="2"/>
        <v>1736479916.6666667</v>
      </c>
      <c r="I65" s="23">
        <f t="shared" si="3"/>
        <v>1876033833.3333333</v>
      </c>
      <c r="J65" s="23">
        <f t="shared" si="4"/>
        <v>2015587750</v>
      </c>
      <c r="K65" s="23">
        <f t="shared" si="5"/>
        <v>2155141666.6666665</v>
      </c>
      <c r="L65" s="23">
        <f t="shared" si="6"/>
        <v>2294695583.333333</v>
      </c>
      <c r="M65" s="23">
        <f t="shared" si="7"/>
        <v>2434249500</v>
      </c>
      <c r="N65" s="23">
        <f t="shared" si="8"/>
        <v>2573803416.6666665</v>
      </c>
      <c r="O65" s="23">
        <f t="shared" si="9"/>
        <v>2713357333.333333</v>
      </c>
      <c r="P65" s="23">
        <f t="shared" si="10"/>
        <v>2852911250</v>
      </c>
      <c r="Q65" s="23">
        <f t="shared" si="11"/>
        <v>2992465166.6666665</v>
      </c>
      <c r="R65" s="23">
        <f t="shared" si="12"/>
        <v>3132019083.333333</v>
      </c>
      <c r="S65" s="23">
        <f t="shared" si="13"/>
        <v>3271573000</v>
      </c>
      <c r="T65" s="23">
        <f t="shared" si="14"/>
        <v>0</v>
      </c>
    </row>
    <row r="66" spans="1:20" x14ac:dyDescent="0.3">
      <c r="A66" s="3" t="s">
        <v>78</v>
      </c>
      <c r="B66" s="3">
        <v>2019</v>
      </c>
      <c r="C66" s="1" t="s">
        <v>72</v>
      </c>
      <c r="D66" s="5">
        <v>1596926000</v>
      </c>
      <c r="E66" s="23">
        <f t="shared" si="0"/>
        <v>1301119000</v>
      </c>
      <c r="F66" s="23">
        <f t="shared" si="1"/>
        <v>295807000</v>
      </c>
      <c r="G66" s="23">
        <f t="shared" si="15"/>
        <v>24650583.333333332</v>
      </c>
      <c r="H66" s="23">
        <f t="shared" si="2"/>
        <v>1325769583.3333333</v>
      </c>
      <c r="I66" s="23">
        <f t="shared" si="3"/>
        <v>1350420166.6666667</v>
      </c>
      <c r="J66" s="23">
        <f t="shared" si="4"/>
        <v>1375070750</v>
      </c>
      <c r="K66" s="23">
        <f t="shared" si="5"/>
        <v>1399721333.3333333</v>
      </c>
      <c r="L66" s="23">
        <f t="shared" si="6"/>
        <v>1424371916.6666667</v>
      </c>
      <c r="M66" s="23">
        <f t="shared" si="7"/>
        <v>1449022500</v>
      </c>
      <c r="N66" s="23">
        <f t="shared" si="8"/>
        <v>1473673083.3333333</v>
      </c>
      <c r="O66" s="23">
        <f t="shared" si="9"/>
        <v>1498323666.6666667</v>
      </c>
      <c r="P66" s="23">
        <f t="shared" si="10"/>
        <v>1522974250</v>
      </c>
      <c r="Q66" s="23">
        <f t="shared" si="11"/>
        <v>1547624833.3333333</v>
      </c>
      <c r="R66" s="23">
        <f t="shared" si="12"/>
        <v>1572275416.6666665</v>
      </c>
      <c r="S66" s="23">
        <f t="shared" si="13"/>
        <v>1596926000</v>
      </c>
      <c r="T66" s="23">
        <f t="shared" si="14"/>
        <v>0</v>
      </c>
    </row>
    <row r="67" spans="1:20" x14ac:dyDescent="0.3">
      <c r="A67" s="3" t="s">
        <v>78</v>
      </c>
      <c r="B67" s="3">
        <v>2018</v>
      </c>
      <c r="C67" s="19" t="s">
        <v>74</v>
      </c>
      <c r="D67" s="18">
        <v>1301119000</v>
      </c>
      <c r="E67" s="23">
        <f t="shared" ref="E67:E75" si="16">D68</f>
        <v>921343000</v>
      </c>
      <c r="F67" s="23">
        <f t="shared" ref="F67:F76" si="17">D67-E67</f>
        <v>379776000</v>
      </c>
      <c r="G67" s="23">
        <f t="shared" si="15"/>
        <v>31648000</v>
      </c>
      <c r="H67" s="23">
        <f t="shared" ref="H67:H76" si="18">E67+(1*G67)</f>
        <v>952991000</v>
      </c>
      <c r="I67" s="23">
        <f t="shared" ref="I67:I76" si="19">E67+(2*G67)</f>
        <v>984639000</v>
      </c>
      <c r="J67" s="23">
        <f t="shared" ref="J67:J76" si="20">E67+(3*G67)</f>
        <v>1016287000</v>
      </c>
      <c r="K67" s="23">
        <f t="shared" ref="K67:K76" si="21">E67+(4*G67)</f>
        <v>1047935000</v>
      </c>
      <c r="L67" s="23">
        <f t="shared" ref="L67:L76" si="22">E67+(5*G67)</f>
        <v>1079583000</v>
      </c>
      <c r="M67" s="23">
        <f t="shared" ref="M67:M76" si="23">E67+(6*G67)</f>
        <v>1111231000</v>
      </c>
      <c r="N67" s="23">
        <f t="shared" ref="N67:N76" si="24">E67+(7*G67)</f>
        <v>1142879000</v>
      </c>
      <c r="O67" s="23">
        <f t="shared" ref="O67:O76" si="25">E67+(8*G67)</f>
        <v>1174527000</v>
      </c>
      <c r="P67" s="23">
        <f t="shared" ref="P67:P76" si="26">E67+(9*G67)</f>
        <v>1206175000</v>
      </c>
      <c r="Q67" s="23">
        <f t="shared" ref="Q67:Q76" si="27">E67+(10*G67)</f>
        <v>1237823000</v>
      </c>
      <c r="R67" s="23">
        <f t="shared" ref="R67:R76" si="28">E67+(11*G67)</f>
        <v>1269471000</v>
      </c>
      <c r="S67" s="23">
        <f t="shared" ref="S67:S76" si="29">E67+(12*G67)</f>
        <v>1301119000</v>
      </c>
      <c r="T67" s="23">
        <f t="shared" ref="T67:T76" si="30">S67-D67</f>
        <v>0</v>
      </c>
    </row>
    <row r="68" spans="1:20" x14ac:dyDescent="0.3">
      <c r="A68" s="3" t="s">
        <v>78</v>
      </c>
      <c r="B68" s="3">
        <v>2017</v>
      </c>
      <c r="C68" s="1" t="s">
        <v>77</v>
      </c>
      <c r="D68" s="5">
        <v>921343000</v>
      </c>
      <c r="E68" s="23">
        <f t="shared" si="16"/>
        <v>841029000</v>
      </c>
      <c r="F68" s="23">
        <f t="shared" si="17"/>
        <v>80314000</v>
      </c>
      <c r="G68" s="23">
        <f t="shared" ref="G68:G85" si="31">F68/12</f>
        <v>6692833.333333333</v>
      </c>
      <c r="H68" s="23">
        <f t="shared" si="18"/>
        <v>847721833.33333337</v>
      </c>
      <c r="I68" s="23">
        <f t="shared" si="19"/>
        <v>854414666.66666663</v>
      </c>
      <c r="J68" s="23">
        <f t="shared" si="20"/>
        <v>861107500</v>
      </c>
      <c r="K68" s="23">
        <f t="shared" si="21"/>
        <v>867800333.33333337</v>
      </c>
      <c r="L68" s="23">
        <f t="shared" si="22"/>
        <v>874493166.66666663</v>
      </c>
      <c r="M68" s="23">
        <f t="shared" si="23"/>
        <v>881186000</v>
      </c>
      <c r="N68" s="23">
        <f t="shared" si="24"/>
        <v>887878833.33333337</v>
      </c>
      <c r="O68" s="23">
        <f t="shared" si="25"/>
        <v>894571666.66666663</v>
      </c>
      <c r="P68" s="23">
        <f t="shared" si="26"/>
        <v>901264500</v>
      </c>
      <c r="Q68" s="23">
        <f t="shared" si="27"/>
        <v>907957333.33333337</v>
      </c>
      <c r="R68" s="23">
        <f t="shared" si="28"/>
        <v>914650166.66666663</v>
      </c>
      <c r="S68" s="23">
        <f t="shared" si="29"/>
        <v>921343000</v>
      </c>
      <c r="T68" s="23">
        <f t="shared" si="30"/>
        <v>0</v>
      </c>
    </row>
    <row r="69" spans="1:20" x14ac:dyDescent="0.3">
      <c r="A69" s="3" t="s">
        <v>78</v>
      </c>
      <c r="B69" s="3">
        <v>2016</v>
      </c>
      <c r="C69" s="1" t="s">
        <v>79</v>
      </c>
      <c r="D69" s="18">
        <v>841029000</v>
      </c>
      <c r="E69" s="23"/>
      <c r="F69" s="23"/>
      <c r="G69" s="23">
        <f t="shared" si="31"/>
        <v>0</v>
      </c>
      <c r="H69" s="23">
        <f t="shared" si="18"/>
        <v>0</v>
      </c>
      <c r="I69" s="23">
        <f t="shared" si="19"/>
        <v>0</v>
      </c>
      <c r="J69" s="23">
        <f t="shared" si="20"/>
        <v>0</v>
      </c>
      <c r="K69" s="23">
        <f t="shared" si="21"/>
        <v>0</v>
      </c>
      <c r="L69" s="23">
        <f t="shared" si="22"/>
        <v>0</v>
      </c>
      <c r="M69" s="23">
        <f t="shared" si="23"/>
        <v>0</v>
      </c>
      <c r="N69" s="23">
        <f t="shared" si="24"/>
        <v>0</v>
      </c>
      <c r="O69" s="23">
        <f t="shared" si="25"/>
        <v>0</v>
      </c>
      <c r="P69" s="23">
        <f t="shared" si="26"/>
        <v>0</v>
      </c>
      <c r="Q69" s="23">
        <f t="shared" si="27"/>
        <v>0</v>
      </c>
      <c r="R69" s="23">
        <f t="shared" si="28"/>
        <v>0</v>
      </c>
      <c r="S69" s="23">
        <f t="shared" si="29"/>
        <v>0</v>
      </c>
      <c r="T69" s="23"/>
    </row>
    <row r="70" spans="1:20" s="25" customFormat="1" x14ac:dyDescent="0.3">
      <c r="A70" s="8" t="s">
        <v>75</v>
      </c>
      <c r="B70" s="8">
        <v>2018</v>
      </c>
      <c r="C70" s="21" t="s">
        <v>76</v>
      </c>
      <c r="D70" s="22">
        <v>445924000</v>
      </c>
      <c r="E70" s="24"/>
      <c r="F70" s="24"/>
      <c r="G70" s="24">
        <f t="shared" si="31"/>
        <v>0</v>
      </c>
      <c r="H70" s="24">
        <f t="shared" si="18"/>
        <v>0</v>
      </c>
      <c r="I70" s="24">
        <f t="shared" si="19"/>
        <v>0</v>
      </c>
      <c r="J70" s="24">
        <f t="shared" si="20"/>
        <v>0</v>
      </c>
      <c r="K70" s="24">
        <f t="shared" si="21"/>
        <v>0</v>
      </c>
      <c r="L70" s="24">
        <f t="shared" si="22"/>
        <v>0</v>
      </c>
      <c r="M70" s="24">
        <f t="shared" si="23"/>
        <v>0</v>
      </c>
      <c r="N70" s="24">
        <f t="shared" si="24"/>
        <v>0</v>
      </c>
      <c r="O70" s="24">
        <f t="shared" si="25"/>
        <v>0</v>
      </c>
      <c r="P70" s="24">
        <f t="shared" si="26"/>
        <v>0</v>
      </c>
      <c r="Q70" s="24">
        <f t="shared" si="27"/>
        <v>0</v>
      </c>
      <c r="R70" s="24">
        <f t="shared" si="28"/>
        <v>0</v>
      </c>
      <c r="S70" s="24">
        <f t="shared" si="29"/>
        <v>0</v>
      </c>
      <c r="T70" s="24"/>
    </row>
    <row r="71" spans="1:20" x14ac:dyDescent="0.3">
      <c r="A71" s="3" t="s">
        <v>71</v>
      </c>
      <c r="B71" s="3">
        <v>2019</v>
      </c>
      <c r="C71" s="1" t="s">
        <v>73</v>
      </c>
      <c r="D71" s="5">
        <v>1704814000</v>
      </c>
      <c r="E71" s="23">
        <f t="shared" si="16"/>
        <v>1644612000</v>
      </c>
      <c r="F71" s="23">
        <f t="shared" si="17"/>
        <v>60202000</v>
      </c>
      <c r="G71" s="23">
        <f t="shared" si="31"/>
        <v>5016833.333333333</v>
      </c>
      <c r="H71" s="23">
        <f t="shared" si="18"/>
        <v>1649628833.3333333</v>
      </c>
      <c r="I71" s="23">
        <f t="shared" si="19"/>
        <v>1654645666.6666667</v>
      </c>
      <c r="J71" s="23">
        <f t="shared" si="20"/>
        <v>1659662500</v>
      </c>
      <c r="K71" s="23">
        <f t="shared" si="21"/>
        <v>1664679333.3333333</v>
      </c>
      <c r="L71" s="23">
        <f t="shared" si="22"/>
        <v>1669696166.6666667</v>
      </c>
      <c r="M71" s="23">
        <f t="shared" si="23"/>
        <v>1674713000</v>
      </c>
      <c r="N71" s="23">
        <f t="shared" si="24"/>
        <v>1679729833.3333333</v>
      </c>
      <c r="O71" s="23">
        <f t="shared" si="25"/>
        <v>1684746666.6666667</v>
      </c>
      <c r="P71" s="23">
        <f t="shared" si="26"/>
        <v>1689763500</v>
      </c>
      <c r="Q71" s="23">
        <f t="shared" si="27"/>
        <v>1694780333.3333333</v>
      </c>
      <c r="R71" s="23">
        <f t="shared" si="28"/>
        <v>1699797166.6666667</v>
      </c>
      <c r="S71" s="23">
        <f t="shared" si="29"/>
        <v>1704814000</v>
      </c>
      <c r="T71" s="23">
        <f t="shared" si="30"/>
        <v>0</v>
      </c>
    </row>
    <row r="72" spans="1:20" x14ac:dyDescent="0.3">
      <c r="A72" s="3" t="s">
        <v>71</v>
      </c>
      <c r="B72" s="3">
        <v>2018</v>
      </c>
      <c r="C72" s="1" t="s">
        <v>80</v>
      </c>
      <c r="D72" s="18">
        <v>1644612000</v>
      </c>
      <c r="E72" s="23">
        <f t="shared" si="16"/>
        <v>617048000</v>
      </c>
      <c r="F72" s="23">
        <f t="shared" si="17"/>
        <v>1027564000</v>
      </c>
      <c r="G72" s="23">
        <f t="shared" si="31"/>
        <v>85630333.333333328</v>
      </c>
      <c r="H72" s="23">
        <f t="shared" si="18"/>
        <v>702678333.33333337</v>
      </c>
      <c r="I72" s="23">
        <f t="shared" si="19"/>
        <v>788308666.66666663</v>
      </c>
      <c r="J72" s="23">
        <f t="shared" si="20"/>
        <v>873939000</v>
      </c>
      <c r="K72" s="23">
        <f t="shared" si="21"/>
        <v>959569333.33333325</v>
      </c>
      <c r="L72" s="23">
        <f t="shared" si="22"/>
        <v>1045199666.6666666</v>
      </c>
      <c r="M72" s="23">
        <f t="shared" si="23"/>
        <v>1130830000</v>
      </c>
      <c r="N72" s="23">
        <f t="shared" si="24"/>
        <v>1216460333.3333333</v>
      </c>
      <c r="O72" s="23">
        <f t="shared" si="25"/>
        <v>1302090666.6666665</v>
      </c>
      <c r="P72" s="23">
        <f t="shared" si="26"/>
        <v>1387721000</v>
      </c>
      <c r="Q72" s="23">
        <f t="shared" si="27"/>
        <v>1473351333.3333333</v>
      </c>
      <c r="R72" s="23">
        <f t="shared" si="28"/>
        <v>1558981666.6666665</v>
      </c>
      <c r="S72" s="23">
        <f t="shared" si="29"/>
        <v>1644612000</v>
      </c>
      <c r="T72" s="23">
        <f t="shared" si="30"/>
        <v>0</v>
      </c>
    </row>
    <row r="73" spans="1:20" x14ac:dyDescent="0.3">
      <c r="A73" s="3" t="s">
        <v>71</v>
      </c>
      <c r="B73" s="20">
        <v>2017</v>
      </c>
      <c r="C73" s="1" t="s">
        <v>81</v>
      </c>
      <c r="D73" s="18">
        <v>617048000</v>
      </c>
      <c r="E73" s="23">
        <f t="shared" si="16"/>
        <v>480982000</v>
      </c>
      <c r="F73" s="23">
        <f t="shared" si="17"/>
        <v>136066000</v>
      </c>
      <c r="G73" s="23">
        <f t="shared" si="31"/>
        <v>11338833.333333334</v>
      </c>
      <c r="H73" s="23">
        <f t="shared" si="18"/>
        <v>492320833.33333331</v>
      </c>
      <c r="I73" s="23">
        <f t="shared" si="19"/>
        <v>503659666.66666669</v>
      </c>
      <c r="J73" s="23">
        <f t="shared" si="20"/>
        <v>514998500</v>
      </c>
      <c r="K73" s="23">
        <f t="shared" si="21"/>
        <v>526337333.33333331</v>
      </c>
      <c r="L73" s="23">
        <f t="shared" si="22"/>
        <v>537676166.66666663</v>
      </c>
      <c r="M73" s="23">
        <f t="shared" si="23"/>
        <v>549015000</v>
      </c>
      <c r="N73" s="23">
        <f t="shared" si="24"/>
        <v>560353833.33333337</v>
      </c>
      <c r="O73" s="23">
        <f t="shared" si="25"/>
        <v>571692666.66666663</v>
      </c>
      <c r="P73" s="23">
        <f t="shared" si="26"/>
        <v>583031500</v>
      </c>
      <c r="Q73" s="23">
        <f t="shared" si="27"/>
        <v>594370333.33333337</v>
      </c>
      <c r="R73" s="23">
        <f t="shared" si="28"/>
        <v>605709166.66666663</v>
      </c>
      <c r="S73" s="23">
        <f t="shared" si="29"/>
        <v>617048000</v>
      </c>
      <c r="T73" s="23">
        <f t="shared" si="30"/>
        <v>0</v>
      </c>
    </row>
    <row r="74" spans="1:20" x14ac:dyDescent="0.3">
      <c r="A74" s="3" t="s">
        <v>71</v>
      </c>
      <c r="B74" s="3">
        <v>2016</v>
      </c>
      <c r="C74" s="1" t="s">
        <v>82</v>
      </c>
      <c r="D74" s="5">
        <v>480982000</v>
      </c>
      <c r="E74" s="23"/>
      <c r="F74" s="23"/>
      <c r="G74" s="23">
        <f t="shared" si="31"/>
        <v>0</v>
      </c>
      <c r="H74" s="23">
        <f t="shared" si="18"/>
        <v>0</v>
      </c>
      <c r="I74" s="23">
        <f t="shared" si="19"/>
        <v>0</v>
      </c>
      <c r="J74" s="23">
        <f t="shared" si="20"/>
        <v>0</v>
      </c>
      <c r="K74" s="23">
        <f t="shared" si="21"/>
        <v>0</v>
      </c>
      <c r="L74" s="23">
        <f t="shared" si="22"/>
        <v>0</v>
      </c>
      <c r="M74" s="23">
        <f t="shared" si="23"/>
        <v>0</v>
      </c>
      <c r="N74" s="23">
        <f t="shared" si="24"/>
        <v>0</v>
      </c>
      <c r="O74" s="23">
        <f t="shared" si="25"/>
        <v>0</v>
      </c>
      <c r="P74" s="23">
        <f t="shared" si="26"/>
        <v>0</v>
      </c>
      <c r="Q74" s="23">
        <f t="shared" si="27"/>
        <v>0</v>
      </c>
      <c r="R74" s="23">
        <f t="shared" si="28"/>
        <v>0</v>
      </c>
      <c r="S74" s="23">
        <f t="shared" si="29"/>
        <v>0</v>
      </c>
      <c r="T74" s="23"/>
    </row>
    <row r="75" spans="1:20" x14ac:dyDescent="0.3">
      <c r="A75" s="3" t="s">
        <v>55</v>
      </c>
      <c r="B75" s="3">
        <v>2023</v>
      </c>
      <c r="C75" s="4" t="s">
        <v>56</v>
      </c>
      <c r="D75" s="5">
        <v>187508000</v>
      </c>
      <c r="E75" s="23">
        <f t="shared" si="16"/>
        <v>95958000</v>
      </c>
      <c r="F75" s="23">
        <f t="shared" si="17"/>
        <v>91550000</v>
      </c>
      <c r="G75" s="23">
        <f t="shared" si="31"/>
        <v>7629166.666666667</v>
      </c>
      <c r="H75" s="23">
        <f t="shared" si="18"/>
        <v>103587166.66666667</v>
      </c>
      <c r="I75" s="23">
        <f t="shared" si="19"/>
        <v>111216333.33333333</v>
      </c>
      <c r="J75" s="23">
        <f t="shared" si="20"/>
        <v>118845500</v>
      </c>
      <c r="K75" s="23">
        <f t="shared" si="21"/>
        <v>126474666.66666667</v>
      </c>
      <c r="L75" s="23">
        <f t="shared" si="22"/>
        <v>134103833.33333334</v>
      </c>
      <c r="M75" s="23">
        <f t="shared" si="23"/>
        <v>141733000</v>
      </c>
      <c r="N75" s="23">
        <f t="shared" si="24"/>
        <v>149362166.66666669</v>
      </c>
      <c r="O75" s="23">
        <f t="shared" si="25"/>
        <v>156991333.33333334</v>
      </c>
      <c r="P75" s="23">
        <f t="shared" si="26"/>
        <v>164620500</v>
      </c>
      <c r="Q75" s="23">
        <f t="shared" si="27"/>
        <v>172249666.66666669</v>
      </c>
      <c r="R75" s="23">
        <f t="shared" si="28"/>
        <v>179878833.33333334</v>
      </c>
      <c r="S75" s="23">
        <f t="shared" si="29"/>
        <v>187508000</v>
      </c>
      <c r="T75" s="23">
        <f t="shared" si="30"/>
        <v>0</v>
      </c>
    </row>
    <row r="76" spans="1:20" x14ac:dyDescent="0.3">
      <c r="A76" s="3" t="s">
        <v>55</v>
      </c>
      <c r="B76" s="3">
        <v>2022</v>
      </c>
      <c r="C76" s="4" t="s">
        <v>57</v>
      </c>
      <c r="D76" s="5">
        <v>95958000</v>
      </c>
      <c r="E76" s="23">
        <f>D77</f>
        <v>66727000</v>
      </c>
      <c r="F76" s="23">
        <f t="shared" si="17"/>
        <v>29231000</v>
      </c>
      <c r="G76" s="23">
        <f t="shared" si="31"/>
        <v>2435916.6666666665</v>
      </c>
      <c r="H76" s="23">
        <f t="shared" si="18"/>
        <v>69162916.666666672</v>
      </c>
      <c r="I76" s="23">
        <f t="shared" si="19"/>
        <v>71598833.333333328</v>
      </c>
      <c r="J76" s="23">
        <f t="shared" si="20"/>
        <v>74034750</v>
      </c>
      <c r="K76" s="23">
        <f t="shared" si="21"/>
        <v>76470666.666666672</v>
      </c>
      <c r="L76" s="23">
        <f t="shared" si="22"/>
        <v>78906583.333333328</v>
      </c>
      <c r="M76" s="23">
        <f t="shared" si="23"/>
        <v>81342500</v>
      </c>
      <c r="N76" s="23">
        <f t="shared" si="24"/>
        <v>83778416.666666657</v>
      </c>
      <c r="O76" s="23">
        <f t="shared" si="25"/>
        <v>86214333.333333328</v>
      </c>
      <c r="P76" s="23">
        <f t="shared" si="26"/>
        <v>88650250</v>
      </c>
      <c r="Q76" s="23">
        <f t="shared" si="27"/>
        <v>91086166.666666657</v>
      </c>
      <c r="R76" s="23">
        <f t="shared" si="28"/>
        <v>93522083.333333328</v>
      </c>
      <c r="S76" s="23">
        <f t="shared" si="29"/>
        <v>95958000</v>
      </c>
      <c r="T76" s="23">
        <f t="shared" si="30"/>
        <v>0</v>
      </c>
    </row>
    <row r="77" spans="1:20" x14ac:dyDescent="0.3">
      <c r="A77" s="3" t="s">
        <v>55</v>
      </c>
      <c r="B77" s="3">
        <v>2021</v>
      </c>
      <c r="C77" s="4" t="s">
        <v>58</v>
      </c>
      <c r="D77" s="18">
        <v>66727000</v>
      </c>
      <c r="E77" s="23"/>
      <c r="F77" s="23"/>
      <c r="G77" s="23">
        <f t="shared" si="31"/>
        <v>0</v>
      </c>
      <c r="H77" s="23">
        <f t="shared" ref="H77:H85" si="32">E77+(1*G77)</f>
        <v>0</v>
      </c>
      <c r="I77" s="23">
        <f t="shared" ref="I77:I85" si="33">E77+(2*G77)</f>
        <v>0</v>
      </c>
      <c r="J77" s="23">
        <f t="shared" ref="J77:J85" si="34">E77+(3*G77)</f>
        <v>0</v>
      </c>
      <c r="K77" s="23">
        <f t="shared" ref="K77:K85" si="35">E77+(4*G77)</f>
        <v>0</v>
      </c>
      <c r="L77" s="23">
        <f t="shared" ref="L77:L85" si="36">E77+(5*G77)</f>
        <v>0</v>
      </c>
      <c r="M77" s="23">
        <f t="shared" ref="M77:M85" si="37">E77+(6*G77)</f>
        <v>0</v>
      </c>
      <c r="N77" s="23">
        <f t="shared" ref="N77:N85" si="38">E77+(7*G77)</f>
        <v>0</v>
      </c>
      <c r="O77" s="23">
        <f t="shared" ref="O77:O85" si="39">E77+(8*G77)</f>
        <v>0</v>
      </c>
      <c r="P77" s="23">
        <f t="shared" ref="P77:P85" si="40">E77+(9*G77)</f>
        <v>0</v>
      </c>
      <c r="Q77" s="23">
        <f t="shared" ref="Q77:Q85" si="41">E77+(10*G77)</f>
        <v>0</v>
      </c>
      <c r="R77" s="23">
        <f t="shared" ref="R77:R85" si="42">E77+(11*G77)</f>
        <v>0</v>
      </c>
      <c r="S77" s="23">
        <f t="shared" ref="S77:S85" si="43">E77+(12*G77)</f>
        <v>0</v>
      </c>
      <c r="T77" s="23"/>
    </row>
    <row r="78" spans="1:20" x14ac:dyDescent="0.3">
      <c r="A78" s="3" t="s">
        <v>63</v>
      </c>
      <c r="B78" s="3">
        <v>2023</v>
      </c>
      <c r="C78" s="4" t="s">
        <v>64</v>
      </c>
      <c r="D78" s="5">
        <v>3153267000</v>
      </c>
      <c r="E78" s="23">
        <f>D79</f>
        <v>3062714000</v>
      </c>
      <c r="F78" s="23">
        <f t="shared" ref="F78:F84" si="44">D78-E78</f>
        <v>90553000</v>
      </c>
      <c r="G78" s="23">
        <f t="shared" si="31"/>
        <v>7546083.333333333</v>
      </c>
      <c r="H78" s="23">
        <f t="shared" si="32"/>
        <v>3070260083.3333335</v>
      </c>
      <c r="I78" s="23">
        <f t="shared" si="33"/>
        <v>3077806166.6666665</v>
      </c>
      <c r="J78" s="23">
        <f t="shared" si="34"/>
        <v>3085352250</v>
      </c>
      <c r="K78" s="23">
        <f t="shared" si="35"/>
        <v>3092898333.3333335</v>
      </c>
      <c r="L78" s="23">
        <f t="shared" si="36"/>
        <v>3100444416.6666665</v>
      </c>
      <c r="M78" s="23">
        <f t="shared" si="37"/>
        <v>3107990500</v>
      </c>
      <c r="N78" s="23">
        <f t="shared" si="38"/>
        <v>3115536583.3333335</v>
      </c>
      <c r="O78" s="23">
        <f t="shared" si="39"/>
        <v>3123082666.6666665</v>
      </c>
      <c r="P78" s="23">
        <f t="shared" si="40"/>
        <v>3130628750</v>
      </c>
      <c r="Q78" s="23">
        <f t="shared" si="41"/>
        <v>3138174833.3333335</v>
      </c>
      <c r="R78" s="23">
        <f t="shared" si="42"/>
        <v>3145720916.6666665</v>
      </c>
      <c r="S78" s="23">
        <f t="shared" si="43"/>
        <v>3153267000</v>
      </c>
      <c r="T78" s="23">
        <f t="shared" ref="T78:T85" si="45">S78-D78</f>
        <v>0</v>
      </c>
    </row>
    <row r="79" spans="1:20" x14ac:dyDescent="0.3">
      <c r="A79" s="3" t="s">
        <v>63</v>
      </c>
      <c r="B79" s="3">
        <v>2022</v>
      </c>
      <c r="C79" s="4" t="s">
        <v>65</v>
      </c>
      <c r="D79" s="5">
        <v>3062714000</v>
      </c>
      <c r="E79" s="23">
        <f>D80</f>
        <v>3707335000</v>
      </c>
      <c r="F79" s="23">
        <f t="shared" si="44"/>
        <v>-644621000</v>
      </c>
      <c r="G79" s="23">
        <f t="shared" si="31"/>
        <v>-53718416.666666664</v>
      </c>
      <c r="H79" s="23">
        <f t="shared" si="32"/>
        <v>3653616583.3333335</v>
      </c>
      <c r="I79" s="23">
        <f t="shared" si="33"/>
        <v>3599898166.6666665</v>
      </c>
      <c r="J79" s="23">
        <f t="shared" si="34"/>
        <v>3546179750</v>
      </c>
      <c r="K79" s="23">
        <f t="shared" si="35"/>
        <v>3492461333.3333335</v>
      </c>
      <c r="L79" s="23">
        <f t="shared" si="36"/>
        <v>3438742916.6666665</v>
      </c>
      <c r="M79" s="23">
        <f t="shared" si="37"/>
        <v>3385024500</v>
      </c>
      <c r="N79" s="23">
        <f t="shared" si="38"/>
        <v>3331306083.3333335</v>
      </c>
      <c r="O79" s="23">
        <f t="shared" si="39"/>
        <v>3277587666.6666665</v>
      </c>
      <c r="P79" s="23">
        <f t="shared" si="40"/>
        <v>3223869250</v>
      </c>
      <c r="Q79" s="23">
        <f t="shared" si="41"/>
        <v>3170150833.3333335</v>
      </c>
      <c r="R79" s="23">
        <f t="shared" si="42"/>
        <v>3116432416.666667</v>
      </c>
      <c r="S79" s="23">
        <f t="shared" si="43"/>
        <v>3062714000</v>
      </c>
      <c r="T79" s="23">
        <f t="shared" si="45"/>
        <v>0</v>
      </c>
    </row>
    <row r="80" spans="1:20" x14ac:dyDescent="0.3">
      <c r="A80" s="3" t="s">
        <v>63</v>
      </c>
      <c r="B80" s="20">
        <v>2021</v>
      </c>
      <c r="C80" s="1" t="s">
        <v>121</v>
      </c>
      <c r="D80" s="43">
        <v>3707335000</v>
      </c>
      <c r="E80" s="23">
        <f>D81</f>
        <v>3335317000</v>
      </c>
      <c r="F80" s="23">
        <f t="shared" si="44"/>
        <v>372018000</v>
      </c>
      <c r="G80" s="23">
        <f t="shared" si="31"/>
        <v>31001500</v>
      </c>
      <c r="H80" s="23">
        <f t="shared" si="32"/>
        <v>3366318500</v>
      </c>
      <c r="I80" s="23">
        <f t="shared" si="33"/>
        <v>3397320000</v>
      </c>
      <c r="J80" s="23">
        <f t="shared" si="34"/>
        <v>3428321500</v>
      </c>
      <c r="K80" s="23">
        <f t="shared" si="35"/>
        <v>3459323000</v>
      </c>
      <c r="L80" s="23">
        <f t="shared" si="36"/>
        <v>3490324500</v>
      </c>
      <c r="M80" s="23">
        <f t="shared" si="37"/>
        <v>3521326000</v>
      </c>
      <c r="N80" s="23">
        <f t="shared" si="38"/>
        <v>3552327500</v>
      </c>
      <c r="O80" s="23">
        <f t="shared" si="39"/>
        <v>3583329000</v>
      </c>
      <c r="P80" s="23">
        <f t="shared" si="40"/>
        <v>3614330500</v>
      </c>
      <c r="Q80" s="23">
        <f t="shared" si="41"/>
        <v>3645332000</v>
      </c>
      <c r="R80" s="23">
        <f t="shared" si="42"/>
        <v>3676333500</v>
      </c>
      <c r="S80" s="23">
        <f t="shared" si="43"/>
        <v>3707335000</v>
      </c>
      <c r="T80" s="23">
        <f t="shared" si="45"/>
        <v>0</v>
      </c>
    </row>
    <row r="81" spans="1:20" x14ac:dyDescent="0.3">
      <c r="A81" s="3" t="s">
        <v>63</v>
      </c>
      <c r="B81" s="20">
        <v>2020</v>
      </c>
      <c r="C81" s="1" t="s">
        <v>122</v>
      </c>
      <c r="D81" s="43">
        <v>3335317000</v>
      </c>
      <c r="E81" s="23">
        <f>D82</f>
        <v>3366889000</v>
      </c>
      <c r="F81" s="23">
        <f t="shared" si="44"/>
        <v>-31572000</v>
      </c>
      <c r="G81" s="23">
        <f t="shared" si="31"/>
        <v>-2631000</v>
      </c>
      <c r="H81" s="23">
        <f t="shared" si="32"/>
        <v>3364258000</v>
      </c>
      <c r="I81" s="23">
        <f t="shared" si="33"/>
        <v>3361627000</v>
      </c>
      <c r="J81" s="23">
        <f t="shared" si="34"/>
        <v>3358996000</v>
      </c>
      <c r="K81" s="23">
        <f t="shared" si="35"/>
        <v>3356365000</v>
      </c>
      <c r="L81" s="23">
        <f t="shared" si="36"/>
        <v>3353734000</v>
      </c>
      <c r="M81" s="23">
        <f t="shared" si="37"/>
        <v>3351103000</v>
      </c>
      <c r="N81" s="23">
        <f t="shared" si="38"/>
        <v>3348472000</v>
      </c>
      <c r="O81" s="23">
        <f t="shared" si="39"/>
        <v>3345841000</v>
      </c>
      <c r="P81" s="23">
        <f t="shared" si="40"/>
        <v>3343210000</v>
      </c>
      <c r="Q81" s="23">
        <f t="shared" si="41"/>
        <v>3340579000</v>
      </c>
      <c r="R81" s="23">
        <f t="shared" si="42"/>
        <v>3337948000</v>
      </c>
      <c r="S81" s="23">
        <f t="shared" si="43"/>
        <v>3335317000</v>
      </c>
      <c r="T81" s="23">
        <f t="shared" si="45"/>
        <v>0</v>
      </c>
    </row>
    <row r="82" spans="1:20" x14ac:dyDescent="0.3">
      <c r="A82" s="3" t="s">
        <v>63</v>
      </c>
      <c r="B82" s="20">
        <v>2019</v>
      </c>
      <c r="C82" s="1" t="s">
        <v>122</v>
      </c>
      <c r="D82" s="43">
        <v>3366889000</v>
      </c>
      <c r="E82" s="23">
        <f t="shared" ref="E82:E85" si="46">D83</f>
        <v>3128373000</v>
      </c>
      <c r="F82" s="23">
        <f t="shared" si="44"/>
        <v>238516000</v>
      </c>
      <c r="G82" s="23">
        <f t="shared" si="31"/>
        <v>19876333.333333332</v>
      </c>
      <c r="H82" s="23">
        <f t="shared" si="32"/>
        <v>3148249333.3333335</v>
      </c>
      <c r="I82" s="23">
        <f t="shared" si="33"/>
        <v>3168125666.6666665</v>
      </c>
      <c r="J82" s="23">
        <f t="shared" si="34"/>
        <v>3188002000</v>
      </c>
      <c r="K82" s="23">
        <f t="shared" si="35"/>
        <v>3207878333.3333335</v>
      </c>
      <c r="L82" s="23">
        <f t="shared" si="36"/>
        <v>3227754666.6666665</v>
      </c>
      <c r="M82" s="23">
        <f t="shared" si="37"/>
        <v>3247631000</v>
      </c>
      <c r="N82" s="23">
        <f t="shared" si="38"/>
        <v>3267507333.3333335</v>
      </c>
      <c r="O82" s="23">
        <f t="shared" si="39"/>
        <v>3287383666.6666665</v>
      </c>
      <c r="P82" s="23">
        <f t="shared" si="40"/>
        <v>3307260000</v>
      </c>
      <c r="Q82" s="23">
        <f t="shared" si="41"/>
        <v>3327136333.3333335</v>
      </c>
      <c r="R82" s="23">
        <f t="shared" si="42"/>
        <v>3347012666.6666665</v>
      </c>
      <c r="S82" s="23">
        <f t="shared" si="43"/>
        <v>3366889000</v>
      </c>
      <c r="T82" s="23">
        <f t="shared" si="45"/>
        <v>0</v>
      </c>
    </row>
    <row r="83" spans="1:20" x14ac:dyDescent="0.3">
      <c r="A83" s="3" t="s">
        <v>59</v>
      </c>
      <c r="B83" s="3">
        <v>2018</v>
      </c>
      <c r="C83" s="4" t="s">
        <v>60</v>
      </c>
      <c r="D83" s="18">
        <v>3128373000</v>
      </c>
      <c r="E83" s="23">
        <f t="shared" si="46"/>
        <v>5031575000</v>
      </c>
      <c r="F83" s="23">
        <f t="shared" si="44"/>
        <v>-1903202000</v>
      </c>
      <c r="G83" s="23">
        <f t="shared" si="31"/>
        <v>-158600166.66666666</v>
      </c>
      <c r="H83" s="23">
        <f t="shared" si="32"/>
        <v>4872974833.333333</v>
      </c>
      <c r="I83" s="23">
        <f t="shared" si="33"/>
        <v>4714374666.666667</v>
      </c>
      <c r="J83" s="23">
        <f t="shared" si="34"/>
        <v>4555774500</v>
      </c>
      <c r="K83" s="23">
        <f t="shared" si="35"/>
        <v>4397174333.333333</v>
      </c>
      <c r="L83" s="23">
        <f t="shared" si="36"/>
        <v>4238574166.666667</v>
      </c>
      <c r="M83" s="23">
        <f t="shared" si="37"/>
        <v>4079974000</v>
      </c>
      <c r="N83" s="23">
        <f t="shared" si="38"/>
        <v>3921373833.3333335</v>
      </c>
      <c r="O83" s="23">
        <f t="shared" si="39"/>
        <v>3762773666.666667</v>
      </c>
      <c r="P83" s="23">
        <f t="shared" si="40"/>
        <v>3604173500</v>
      </c>
      <c r="Q83" s="23">
        <f t="shared" si="41"/>
        <v>3445573333.3333335</v>
      </c>
      <c r="R83" s="23">
        <f t="shared" si="42"/>
        <v>3286973166.666667</v>
      </c>
      <c r="S83" s="23">
        <f t="shared" si="43"/>
        <v>3128373000</v>
      </c>
      <c r="T83" s="23">
        <f t="shared" si="45"/>
        <v>0</v>
      </c>
    </row>
    <row r="84" spans="1:20" x14ac:dyDescent="0.3">
      <c r="A84" s="3" t="s">
        <v>59</v>
      </c>
      <c r="B84" s="3">
        <v>2017</v>
      </c>
      <c r="C84" s="4" t="s">
        <v>61</v>
      </c>
      <c r="D84" s="18">
        <v>5031575000</v>
      </c>
      <c r="E84" s="23">
        <f t="shared" si="46"/>
        <v>4462299000</v>
      </c>
      <c r="F84" s="23">
        <f t="shared" si="44"/>
        <v>569276000</v>
      </c>
      <c r="G84" s="23">
        <f t="shared" si="31"/>
        <v>47439666.666666664</v>
      </c>
      <c r="H84" s="23">
        <f t="shared" si="32"/>
        <v>4509738666.666667</v>
      </c>
      <c r="I84" s="23">
        <f t="shared" si="33"/>
        <v>4557178333.333333</v>
      </c>
      <c r="J84" s="23">
        <f t="shared" si="34"/>
        <v>4604618000</v>
      </c>
      <c r="K84" s="23">
        <f t="shared" si="35"/>
        <v>4652057666.666667</v>
      </c>
      <c r="L84" s="23">
        <f t="shared" si="36"/>
        <v>4699497333.333333</v>
      </c>
      <c r="M84" s="23">
        <f t="shared" si="37"/>
        <v>4746937000</v>
      </c>
      <c r="N84" s="23">
        <f t="shared" si="38"/>
        <v>4794376666.666667</v>
      </c>
      <c r="O84" s="23">
        <f t="shared" si="39"/>
        <v>4841816333.333333</v>
      </c>
      <c r="P84" s="23">
        <f t="shared" si="40"/>
        <v>4889256000</v>
      </c>
      <c r="Q84" s="23">
        <f t="shared" si="41"/>
        <v>4936695666.666667</v>
      </c>
      <c r="R84" s="23">
        <f t="shared" si="42"/>
        <v>4984135333.333333</v>
      </c>
      <c r="S84" s="23">
        <f t="shared" si="43"/>
        <v>5031575000</v>
      </c>
      <c r="T84" s="23">
        <f t="shared" si="45"/>
        <v>0</v>
      </c>
    </row>
    <row r="85" spans="1:20" x14ac:dyDescent="0.3">
      <c r="A85" s="3" t="s">
        <v>59</v>
      </c>
      <c r="B85" s="3">
        <v>2016</v>
      </c>
      <c r="C85" s="4" t="s">
        <v>62</v>
      </c>
      <c r="D85" s="18">
        <v>4462299000</v>
      </c>
      <c r="E85" s="23">
        <f t="shared" si="46"/>
        <v>0</v>
      </c>
      <c r="F85" s="23"/>
      <c r="G85" s="23">
        <f t="shared" si="31"/>
        <v>0</v>
      </c>
      <c r="H85" s="23">
        <f t="shared" si="32"/>
        <v>0</v>
      </c>
      <c r="I85" s="23">
        <f t="shared" si="33"/>
        <v>0</v>
      </c>
      <c r="J85" s="23">
        <f t="shared" si="34"/>
        <v>0</v>
      </c>
      <c r="K85" s="23">
        <f t="shared" si="35"/>
        <v>0</v>
      </c>
      <c r="L85" s="23">
        <f t="shared" si="36"/>
        <v>0</v>
      </c>
      <c r="M85" s="23">
        <f t="shared" si="37"/>
        <v>0</v>
      </c>
      <c r="N85" s="23">
        <f t="shared" si="38"/>
        <v>0</v>
      </c>
      <c r="O85" s="23">
        <f t="shared" si="39"/>
        <v>0</v>
      </c>
      <c r="P85" s="23">
        <f t="shared" si="40"/>
        <v>0</v>
      </c>
      <c r="Q85" s="23">
        <f t="shared" si="41"/>
        <v>0</v>
      </c>
      <c r="R85" s="23">
        <f t="shared" si="42"/>
        <v>0</v>
      </c>
      <c r="S85" s="23">
        <f t="shared" si="43"/>
        <v>0</v>
      </c>
      <c r="T85" s="23">
        <f t="shared" si="45"/>
        <v>-4462299000</v>
      </c>
    </row>
  </sheetData>
  <phoneticPr fontId="5" type="noConversion"/>
  <hyperlinks>
    <hyperlink ref="C3" r:id="rId1" display="https://www.rothesay.com/media/4kzjcj1x/rothesay-scfr-2022.pdf" xr:uid="{7CA63885-1C59-4A51-B3E0-13D9D642CDF9}"/>
    <hyperlink ref="C2" r:id="rId2" display="https://www.rothesay.com/media/hyxh34br/rothesay-sfcr-2023.pdf" xr:uid="{E86338D8-2EFC-4502-9C6F-A1ED5846F197}"/>
    <hyperlink ref="C9" r:id="rId3" xr:uid="{41DFF5D5-C598-41F6-8774-77483FB8B1B9}"/>
    <hyperlink ref="C8" r:id="rId4" xr:uid="{01E1308C-DDA2-4F6E-B057-7086B5828D22}"/>
    <hyperlink ref="C7" r:id="rId5" xr:uid="{7DC44AA5-C0A8-4279-86A2-32FDA61BBC75}"/>
    <hyperlink ref="C6" r:id="rId6" xr:uid="{2FE7EF8D-2EED-463B-9C0C-15E1C7BDFAEA}"/>
    <hyperlink ref="C5" r:id="rId7" xr:uid="{2BBA1B5B-A41B-4195-93AA-F6EF6FE1EAAA}"/>
    <hyperlink ref="C4" r:id="rId8" xr:uid="{43867A16-60BD-4D50-8A5F-E80D308E4991}"/>
    <hyperlink ref="C14" r:id="rId9" xr:uid="{44C50FD9-7BA7-4BF2-BA84-4CB44B0214FE}"/>
    <hyperlink ref="C15" r:id="rId10" display="PIC SFCR 2019" xr:uid="{FA448827-0E56-4931-B604-46FA4AF17DAB}"/>
    <hyperlink ref="C13" r:id="rId11" xr:uid="{DD12F424-69BF-4BCD-9C24-6F8D8B738252}"/>
    <hyperlink ref="C12" r:id="rId12" xr:uid="{B27FCFD4-6189-4A34-BE33-AF381A10F16E}"/>
    <hyperlink ref="C11" r:id="rId13" xr:uid="{59B63389-4857-4F5B-B379-75C5A5EC736A}"/>
    <hyperlink ref="C10" r:id="rId14" xr:uid="{3B015B7A-81DA-481C-A0C6-B776712B0325}"/>
    <hyperlink ref="C85" r:id="rId15" display="https://www.prudentialplc.com/~/media/Files/P/Prudential-V13/reports/2016/pacl-sfcr-2016.pdf" xr:uid="{E7B63B8B-7C7E-46D0-9632-DEFE175C6C9E}"/>
    <hyperlink ref="C84" r:id="rId16" display="https://www.prudentialplc.com/~/media/Files/P/Prudential-V13/reports/2017/pacl-sfcr-2017.pdf" xr:uid="{BB1FF2EE-6798-4574-B665-58058FAFE15F}"/>
    <hyperlink ref="C83" r:id="rId17" display="https://www.prudentialplc.com/~/media/Files/P/Prudential-V13/reports/2018/pacl-sfcr-2018.pdf" xr:uid="{57B9CFA2-2326-408F-A563-BCEE49CECDCA}"/>
    <hyperlink ref="C75" r:id="rId18" display="https://www.royallondon.com/siteassets/site-docs/about-us/corporate-goverance/regulatory-returns-and-publications/single-group-solvency-and-financial-condition-report-2023.pdf" xr:uid="{05E0A162-B913-4C54-948F-811625762F00}"/>
    <hyperlink ref="C76" r:id="rId19" display="https://www.royallondon.com/siteassets/site-docs/about-us/corporate-goverance/regulatory-returns-and-publications/single-group-solvency-and-financial-condition-report-2022.pdf" xr:uid="{4C9A8BB0-3DAD-4DE4-834A-424A8C087A7F}"/>
    <hyperlink ref="C77" r:id="rId20" display="https://www.royallondon.com/siteassets/site-docs/about-us/corporate-goverance/regulatory-returns-and-publications/single-group-solvency-and-financial-condition-report-2021.pdf" xr:uid="{8827788E-71A4-4492-BD55-99CC61563C67}"/>
    <hyperlink ref="C18" r:id="rId21" xr:uid="{046B2391-045B-4C40-AF80-D55DD5CE04DC}"/>
    <hyperlink ref="C19" r:id="rId22" display="https://group.legalandgeneral.com/media/0tieanra/group-sfcr-2022-final-signed.pdf" xr:uid="{045595BE-13B9-469E-B51F-BA9F2E60EAF3}"/>
    <hyperlink ref="C20" r:id="rId23" display="https://group.legalandgeneral.com/media/sgxm53ph/group_sfcr-2021_signed.pdf" xr:uid="{BDCC67A8-C801-45C1-AE21-3C5AD6306DAA}"/>
    <hyperlink ref="C21" r:id="rId24" display="https://group.legalandgeneral.com/media/bfrlwnj4/lg-group-plc-sfcr.pdf" xr:uid="{3A1A622A-B0C3-4483-87BA-F51E10F78CE9}"/>
    <hyperlink ref="C22" r:id="rId25" display="https://group.legalandgeneral.com/media/pxtn454f/sfcr-legal-general-group-plc.pdf" xr:uid="{56A0DA4D-2D4A-4039-BE10-DC96829315E3}"/>
    <hyperlink ref="C23" r:id="rId26" display="https://group.legalandgeneral.com/media/avkabega/sii-sfcr-2018_group-_published.pdf" xr:uid="{AAF1FCFA-F401-4A15-8887-C690A9F4E84F}"/>
    <hyperlink ref="C24" r:id="rId27" display="https://group.legalandgeneral.com/media/yuqcjkv5/lg-group-sfcr-2017-final-published.pdf" xr:uid="{CFEE181E-4093-4DE0-9A18-3F4554EDBB0F}"/>
    <hyperlink ref="C25" r:id="rId28" display="https://group.legalandgeneral.com/media/x0xhtr0w/solvency-and-financial-condition-group-2016.pdf" xr:uid="{D3EA39D3-3F40-4A4C-A6F8-7AC8C8D033A7}"/>
    <hyperlink ref="C35" r:id="rId29" display="https://www.justgroupplc.co.uk/~/media/Files/J/Just-Retirement-Corp/investor-docs/financial-reports-and-presentations/2023/Just Group SFCR 2022.pdf" xr:uid="{E1F6219E-DC30-4B87-9274-FA61E4FF9249}"/>
    <hyperlink ref="C34" r:id="rId30" display="https://www.justgroupplc.co.uk/~/media/Files/J/Just-Retirement-Corp/investor-docs/financial-reports-and-presentations/2024/just-group-sfcr-2023.pdf" xr:uid="{BEF2A59F-7D91-490F-85F3-1D51D734024B}"/>
    <hyperlink ref="C36" r:id="rId31" display="https://www.justgroupplc.co.uk/~/media/Files/J/Just-Retirement-Corp/investor-docs/financial-reports-and-presentations/2022/Just Group SFCR 2021.pdf" xr:uid="{AEE0E95B-DD4D-41D1-B6E7-D7DC96F97B0D}"/>
    <hyperlink ref="C37" r:id="rId32" display="https://www.justgroupplc.co.uk/~/media/Files/J/Just-Retirement-Corp/investor-docs/financial-reports-and-presentations/2021/Just Group SFCR 2020 090420 FINAL.pdf" xr:uid="{DCF669C3-AF07-474B-9E3B-D1D049CA1949}"/>
    <hyperlink ref="C38" r:id="rId33" display="https://www.justgroupplc.co.uk/~/media/Files/J/Just-Retirement-Corp/investor-docs/financial-reports-and-presentations/2020/just-group-2019-sfcr.pdf" xr:uid="{CD5973E4-7CDE-4344-985A-6CC0A35AEAE3}"/>
    <hyperlink ref="C39" r:id="rId34" display="https://www.justgroupplc.co.uk/~/media/Files/J/Just-Retirement-Corp/investor-docs/financial-reports-and-presentations/2019/Just Group SFCR 2018.pdf" xr:uid="{6089BF5F-F8D9-439C-9BA9-D0D0863AF09E}"/>
    <hyperlink ref="C40" r:id="rId35" display="https://www.justgroupplc.co.uk/~/media/Files/J/Just-Retirement-Corp/investor-docs/financial-reports-and-presentations/Regulatory returns/sfcr-as-at-31-december-2017.pdf" xr:uid="{BE720731-0549-468B-8164-FCFAD95CE162}"/>
    <hyperlink ref="C41" r:id="rId36" display="https://www.justgroupplc.co.uk/~/media/Files/J/Just-Retirement-Corp/investor-docs/financial-reports-and-presentations/Regulatory returns/Just Group plc Solvency and Financial Condition Report as at 31 December 2016.pdf" xr:uid="{AAFAC1BE-B29C-4057-A31E-DCA831A3023F}"/>
    <hyperlink ref="C47" r:id="rId37" display="https://adviser.scottishwidows.co.uk/assets/literature/docs/Group-SFCR-2018.pdf" xr:uid="{FD55C39F-FEC3-4A0E-9625-74CBF6E9D2BE}"/>
    <hyperlink ref="C46" r:id="rId38" display="https://adviser.scottishwidows.co.uk/assets/literature/docs/Group-SFCR-2019.pdf" xr:uid="{CAD28A0D-440E-48E7-8D6B-A6CA00935B9B}"/>
    <hyperlink ref="C45" r:id="rId39" display="https://adviser.scottishwidows.co.uk/assets/literature/docs/Group-SFCR-2020.pdf" xr:uid="{1057738F-DB4C-4999-9340-49D1F2191EF6}"/>
    <hyperlink ref="C44" r:id="rId40" display="https://adviser.scottishwidows.co.uk/assets/literature/docs/Group-SFCR-2021.pdf" xr:uid="{B57FDE18-074A-474A-A4C8-E91D80ACA18F}"/>
    <hyperlink ref="C43" r:id="rId41" display="https://adviser.scottishwidows.co.uk/assets/literature/docs/group_sfcr_2022.pdf" xr:uid="{7EB9961D-9291-4C4B-B06C-76CB7C95AFFD}"/>
    <hyperlink ref="C42" r:id="rId42" display="https://adviser.scottishwidows.co.uk/assets/literature/docs/group_sfcr_2023.pdf" xr:uid="{2B250A62-2206-4310-9036-B8944CC82409}"/>
    <hyperlink ref="C62" r:id="rId43" xr:uid="{3D617D74-28C0-4FC0-999A-BA400F2BAF52}"/>
    <hyperlink ref="C63" r:id="rId44" display="https://www.thephoenixgroup.com/media/jruhvzki/phoenix-group-solvency-and-financial-condition-report-31-december-2022.pdf" xr:uid="{6910203C-AED3-44A7-A5D2-BE9948523EE9}"/>
    <hyperlink ref="C16" r:id="rId45" xr:uid="{61054E0C-C378-40C0-A866-A581E61916B0}"/>
    <hyperlink ref="C17" r:id="rId46" display="https://www.pensioncorporation.com/content/dam/pic/corporate/documents/investors/-pic-and-picg-financial-results-and-reports/regulatory-returns/sfcr-year-end-31-december-2016-final.pdf.downloadasset.pdf" xr:uid="{FE2D0567-7FA2-4A93-A2B0-EE9F756AFBBC}"/>
    <hyperlink ref="C64" r:id="rId47" xr:uid="{1769C133-6920-4722-BCD8-5D69CD140B29}"/>
    <hyperlink ref="C65" r:id="rId48" display="https://www.thephoenixgroup.com/media/n1kkkwsy/phoenix-group-solvency-and-financial-condition-report-31-december-2020.pdf" xr:uid="{52BB26F1-AD53-48ED-88FC-A54F98E29AB7}"/>
    <hyperlink ref="C66" r:id="rId49" display="https://www.thephoenixgroup.com/media/lmrcwnki/phoenix-group-sfcr-31-dec-19-vfinal.pdf" xr:uid="{7435A7AB-DE63-467F-972C-FC5A1A6460ED}"/>
    <hyperlink ref="C71" r:id="rId50" display="https://www.thephoenixgroup.com/media/xhmnmodf/2019-reassure-sfcr.pdf" xr:uid="{063AC8C9-F737-4013-93D4-C10AB802F70C}"/>
    <hyperlink ref="C67" r:id="rId51" xr:uid="{099A5367-A8A6-4B4E-98B4-FAA0E8E1FD98}"/>
    <hyperlink ref="C70" r:id="rId52" display="https://www.thephoenixgroup.com/media/lzmncmec/slal-sfcr-2018-signed-with-bookmarks.pdf" xr:uid="{93A953B1-0A35-4AC7-83EE-AD445208AD06}"/>
    <hyperlink ref="C68" r:id="rId53" display="https://www.thephoenixgroup.com/media/3ukfgixs/phoenix-group-solvency-and-financial-condition-report-ye17.pdf" xr:uid="{4BC746BD-8F67-45F2-A048-67C2EDFA0C91}"/>
    <hyperlink ref="C69" r:id="rId54" display="https://www.thephoenixgroup.com/media/gvcgoghe/plhl-group-solvency-and-financial-condition-report.pdf" xr:uid="{4F521719-4B03-4BA1-BBEB-9C550E26F31F}"/>
    <hyperlink ref="C72" r:id="rId55" display="https://www.swissre.com/dam/jcr:91774f33-d98f-44cb-93c7-2d7118262595/sfcr-reassure-group-2018.pdf" xr:uid="{1D05B7B9-14F7-4CB0-A79A-C9DA075B75E2}"/>
    <hyperlink ref="C73" r:id="rId56" display="https://www.swissre.com/dam/jcr:52e20329-3c7a-46a6-9005-0d40dfe9ab6b/SFCR_Reassure_Group_2017.pdf" xr:uid="{BFAAB166-BD3A-4DD2-A7EE-3AE00D78DF64}"/>
    <hyperlink ref="C74" r:id="rId57" display="https://www.swissre.com/dam/jcr:31f2bc03-52ec-4a10-891a-a26ad34e8388/solvency_and_financial_condition_report_reassure.pdf" xr:uid="{97339287-A1ED-47D7-AF18-286F90868F02}"/>
    <hyperlink ref="C27" r:id="rId58" display="C:\Users\ChristianPreece\Downloads\31 Dec 22 Aviva plc Group SFCR (4).pdf" xr:uid="{51AA6354-00B0-4E6B-AF9E-9E759B7808B4}"/>
    <hyperlink ref="C30" r:id="rId59" xr:uid="{9085E6F5-006F-405F-ACB1-FDB706CF9D33}"/>
    <hyperlink ref="C31" r:id="rId60" xr:uid="{BB791E66-0ED5-4927-AE2D-79DB632E8625}"/>
    <hyperlink ref="C32" r:id="rId61" xr:uid="{32264663-5CA1-4C15-BC47-783E3DFECBBE}"/>
    <hyperlink ref="C33" r:id="rId62" xr:uid="{91B3994D-722F-49AB-A94D-6810F03294AE}"/>
    <hyperlink ref="C51" r:id="rId63" display="https://p3.aprimocdn.net/canadalifeuk/2022-CLL-SFCR.pdf" xr:uid="{A24C04D9-30BB-48DF-A50E-FEE9C69F272A}"/>
    <hyperlink ref="C50" r:id="rId64" xr:uid="{EA7A25D6-0AA3-442C-8ACC-D14ECD848755}"/>
    <hyperlink ref="C52" r:id="rId65" xr:uid="{F34589F8-525C-4386-9794-E415D25012E8}"/>
    <hyperlink ref="C53" r:id="rId66" display="https://p3.aprimocdn.net/canadalifeuk/cll-2020-sfcr.pdf?_ga=2.32984694.974404502.1649067887-1621884553.1639499390" xr:uid="{CC70AC0A-4464-4571-90A2-24DE46E4A6F8}"/>
    <hyperlink ref="C54" r:id="rId67" xr:uid="{5B966ED1-369E-40BA-985D-3916D3C10DAB}"/>
    <hyperlink ref="C55" r:id="rId68" xr:uid="{73CB500B-9AA6-40A1-949D-532F28D61A45}"/>
    <hyperlink ref="C56" r:id="rId69" xr:uid="{13F1F0EE-CD7C-45D0-8F57-52338959C603}"/>
    <hyperlink ref="C57" r:id="rId70" xr:uid="{43746871-25A4-4A69-94CD-9F8256D34CFB}"/>
    <hyperlink ref="C79" r:id="rId71" display="https://www.mandg.com/~/media/Files/M/MandG-Plc/documents/investors/SFCR/single-group-solvency-and-financial-condition-report.pdf" xr:uid="{B6811D6A-1838-431E-AF39-902D9A1A1345}"/>
    <hyperlink ref="C78" r:id="rId72" display="https://www.mandg.com/~/media/Files/M/MandG-Plc/documents/investors/2024/MG-plc-SFCR-2023.pdf" xr:uid="{FB87310C-AE77-4BA4-B1AE-7CC82B0535DB}"/>
    <hyperlink ref="C80" r:id="rId73" display="https://www.mandg.com/~/media/Files/M/MandG-Plc/documents/investors/SFCR/mg-plc-fy21-single-group-sfcr.pdf" xr:uid="{242BE9F1-F995-49AE-961D-2EF0B39DFF54}"/>
    <hyperlink ref="C81" r:id="rId74" display="https://www.mandg.com/~/media/Files/M/MandG-Plc/documents/investors/Regulatory Returns/2020/MG-plc-SFCR-Report-YE20.pdf" xr:uid="{9999DE77-214E-460A-A376-114F4D267B8C}"/>
    <hyperlink ref="C82" r:id="rId75" display="https://www.mandg.com/~/media/Files/M/MandG-Plc/documents/investors/SFCR/MGplc-group-solvency-financial-condition-report-2019.pdf" xr:uid="{F695DFB0-E1D6-4A2E-B40D-FEB8BAFB01B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1FAA5-DC74-4D83-9701-74275391581A}">
  <dimension ref="B2:E15"/>
  <sheetViews>
    <sheetView workbookViewId="0">
      <selection activeCell="J9" sqref="J9"/>
    </sheetView>
  </sheetViews>
  <sheetFormatPr defaultRowHeight="14.4" x14ac:dyDescent="0.3"/>
  <cols>
    <col min="5" max="5" width="28.21875" bestFit="1" customWidth="1"/>
  </cols>
  <sheetData>
    <row r="2" spans="2:5" ht="26.4" customHeight="1" x14ac:dyDescent="0.3">
      <c r="D2" s="30"/>
      <c r="E2" s="27" t="s">
        <v>35</v>
      </c>
    </row>
    <row r="3" spans="2:5" ht="26.4" customHeight="1" x14ac:dyDescent="0.3">
      <c r="D3" s="31"/>
      <c r="E3" s="27" t="s">
        <v>91</v>
      </c>
    </row>
    <row r="4" spans="2:5" ht="26.4" customHeight="1" x14ac:dyDescent="0.3">
      <c r="D4" s="32"/>
      <c r="E4" s="27" t="s">
        <v>37</v>
      </c>
    </row>
    <row r="5" spans="2:5" ht="26.4" customHeight="1" x14ac:dyDescent="0.3">
      <c r="D5" s="33"/>
      <c r="E5" s="27" t="s">
        <v>26</v>
      </c>
    </row>
    <row r="6" spans="2:5" ht="26.4" customHeight="1" x14ac:dyDescent="0.3">
      <c r="D6" s="34"/>
      <c r="E6" s="27" t="s">
        <v>63</v>
      </c>
    </row>
    <row r="7" spans="2:5" ht="26.4" customHeight="1" x14ac:dyDescent="0.3">
      <c r="C7" s="26"/>
      <c r="D7" s="35"/>
      <c r="E7" s="27" t="s">
        <v>19</v>
      </c>
    </row>
    <row r="8" spans="2:5" ht="26.4" customHeight="1" x14ac:dyDescent="0.3">
      <c r="D8" s="36"/>
      <c r="E8" s="27" t="s">
        <v>78</v>
      </c>
    </row>
    <row r="9" spans="2:5" ht="26.4" customHeight="1" x14ac:dyDescent="0.3">
      <c r="D9" s="37"/>
      <c r="E9" s="27" t="s">
        <v>59</v>
      </c>
    </row>
    <row r="10" spans="2:5" ht="26.4" customHeight="1" x14ac:dyDescent="0.3">
      <c r="D10" s="38"/>
      <c r="E10" s="27" t="s">
        <v>71</v>
      </c>
    </row>
    <row r="11" spans="2:5" ht="26.4" customHeight="1" x14ac:dyDescent="0.3">
      <c r="D11" s="42"/>
      <c r="E11" s="27" t="s">
        <v>101</v>
      </c>
    </row>
    <row r="12" spans="2:5" ht="26.4" customHeight="1" x14ac:dyDescent="0.3">
      <c r="B12" s="29"/>
      <c r="C12" s="28"/>
      <c r="D12" s="39"/>
      <c r="E12" s="27" t="s">
        <v>8</v>
      </c>
    </row>
    <row r="13" spans="2:5" ht="26.4" customHeight="1" x14ac:dyDescent="0.3">
      <c r="D13" s="40"/>
      <c r="E13" s="27" t="s">
        <v>55</v>
      </c>
    </row>
    <row r="14" spans="2:5" ht="26.4" customHeight="1" x14ac:dyDescent="0.3">
      <c r="D14" s="41"/>
      <c r="E14" s="27" t="s">
        <v>46</v>
      </c>
    </row>
    <row r="15" spans="2:5" ht="26.4" customHeight="1" x14ac:dyDescent="0.3">
      <c r="E15" s="27" t="s">
        <v>75</v>
      </c>
    </row>
  </sheetData>
  <sortState xmlns:xlrd2="http://schemas.microsoft.com/office/spreadsheetml/2017/richdata2" ref="E2:E15">
    <sortCondition ref="E2:E15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7ABD8EF33178439CF2A2C7AEB9801B" ma:contentTypeVersion="13" ma:contentTypeDescription="Create a new document." ma:contentTypeScope="" ma:versionID="12b6fad6aca03122dfcca5ab1d978933">
  <xsd:schema xmlns:xsd="http://www.w3.org/2001/XMLSchema" xmlns:xs="http://www.w3.org/2001/XMLSchema" xmlns:p="http://schemas.microsoft.com/office/2006/metadata/properties" xmlns:ns2="ea73508c-9dd0-412f-b7f5-d19fd8285a9a" xmlns:ns3="4f63f14c-4dba-474e-8d75-3eb3940f9269" targetNamespace="http://schemas.microsoft.com/office/2006/metadata/properties" ma:root="true" ma:fieldsID="bd47707406b9bfa83c1bdad517a38f29" ns2:_="" ns3:_="">
    <xsd:import namespace="ea73508c-9dd0-412f-b7f5-d19fd8285a9a"/>
    <xsd:import namespace="4f63f14c-4dba-474e-8d75-3eb3940f926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73508c-9dd0-412f-b7f5-d19fd8285a9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28017250-ac08-4dd0-bc08-92b95f8a64ea}" ma:internalName="TaxCatchAll" ma:showField="CatchAllData" ma:web="ea73508c-9dd0-412f-b7f5-d19fd8285a9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63f14c-4dba-474e-8d75-3eb3940f926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9cfdcd2c-843a-4e15-82dc-22c3a24375d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a73508c-9dd0-412f-b7f5-d19fd8285a9a" xsi:nil="true"/>
    <lcf76f155ced4ddcb4097134ff3c332f xmlns="4f63f14c-4dba-474e-8d75-3eb3940f9269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F3F9255-2985-4AD9-90B7-78E96F74EDB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F8EB609-9097-46F1-8CEF-E5A339402D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a73508c-9dd0-412f-b7f5-d19fd8285a9a"/>
    <ds:schemaRef ds:uri="4f63f14c-4dba-474e-8d75-3eb3940f92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EA4A563-9C23-4B6D-BB75-716F05EAD533}">
  <ds:schemaRefs>
    <ds:schemaRef ds:uri="http://schemas.microsoft.com/office/infopath/2007/PartnerControls"/>
    <ds:schemaRef ds:uri="4f63f14c-4dba-474e-8d75-3eb3940f9269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ea73508c-9dd0-412f-b7f5-d19fd8285a9a"/>
    <ds:schemaRef ds:uri="http://schemas.microsoft.com/office/2006/metadata/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Life</vt:lpstr>
      <vt:lpstr>Monthly intervals</vt:lpstr>
      <vt:lpstr>Colours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 Preece</dc:creator>
  <cp:keywords/>
  <dc:description/>
  <cp:lastModifiedBy>Christian Preece</cp:lastModifiedBy>
  <cp:revision/>
  <dcterms:created xsi:type="dcterms:W3CDTF">2024-04-26T12:46:15Z</dcterms:created>
  <dcterms:modified xsi:type="dcterms:W3CDTF">2024-06-14T13:00:56Z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0x010100597ABD8EF33178439CF2A2C7AEB9801B</vt:lpwstr>
  </property>
  <property fmtid="{D5CDD505-2E9C-101B-9397-08002B2CF9AE}" pid="3" name="MediaServiceImageTags">
    <vt:lpwstr/>
  </property>
</Properties>
</file>